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企业空间\顺丰速运集团\速运事业群\顺丰航空\运行控制部\部门工作\作业文件\17→AOC气象服务席\01→值班存档类\02→24小时天气预报\2026年\7月\"/>
    </mc:Choice>
  </mc:AlternateContent>
  <bookViews>
    <workbookView xWindow="0" yWindow="0" windowWidth="22260" windowHeight="12645"/>
  </bookViews>
  <sheets>
    <sheet name="24小时天气预报" sheetId="1" r:id="rId1"/>
    <sheet name="风向十六方位图" sheetId="2" r:id="rId2"/>
    <sheet name="天气类型" sheetId="3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1" l="1"/>
  <c r="D8" i="1"/>
  <c r="E8" i="1" s="1"/>
  <c r="F8" i="1" s="1"/>
  <c r="G8" i="1" s="1"/>
  <c r="H8" i="1" s="1"/>
  <c r="I8" i="1" s="1"/>
  <c r="J8" i="1" s="1"/>
  <c r="K8" i="1" s="1"/>
  <c r="L8" i="1" s="1"/>
  <c r="M8" i="1" s="1"/>
  <c r="N8" i="1" s="1"/>
  <c r="O8" i="1" s="1"/>
  <c r="P8" i="1" s="1"/>
  <c r="Q8" i="1" s="1"/>
  <c r="R8" i="1" s="1"/>
  <c r="S8" i="1" s="1"/>
  <c r="T8" i="1" s="1"/>
  <c r="U8" i="1" s="1"/>
  <c r="V8" i="1" s="1"/>
  <c r="W8" i="1" s="1"/>
  <c r="X8" i="1" s="1"/>
  <c r="Y8" i="1" s="1"/>
  <c r="Z8" i="1" s="1"/>
  <c r="AA8" i="1" s="1"/>
  <c r="AB8" i="1" s="1"/>
  <c r="R4" i="1"/>
  <c r="O4" i="1"/>
  <c r="I4" i="1"/>
  <c r="L4" i="1"/>
</calcChain>
</file>

<file path=xl/sharedStrings.xml><?xml version="1.0" encoding="utf-8"?>
<sst xmlns="http://schemas.openxmlformats.org/spreadsheetml/2006/main" count="484" uniqueCount="291">
  <si>
    <t>影响机场</t>
  </si>
  <si>
    <t>起报时间</t>
  </si>
  <si>
    <t>预报时长→</t>
    <phoneticPr fontId="5" type="noConversion"/>
  </si>
  <si>
    <t>名称</t>
    <phoneticPr fontId="5" type="noConversion"/>
  </si>
  <si>
    <t>性质</t>
    <phoneticPr fontId="5" type="noConversion"/>
  </si>
  <si>
    <t>预报时刻→</t>
    <phoneticPr fontId="5" type="noConversion"/>
  </si>
  <si>
    <t xml:space="preserve">     24小时天气预报</t>
    <phoneticPr fontId="5" type="noConversion"/>
  </si>
  <si>
    <t>日期（北京时）</t>
    <phoneticPr fontId="5" type="noConversion"/>
  </si>
  <si>
    <t>雷暴</t>
  </si>
  <si>
    <t>大风</t>
  </si>
  <si>
    <t>降雪</t>
  </si>
  <si>
    <t>低能见度</t>
    <phoneticPr fontId="5" type="noConversion"/>
  </si>
  <si>
    <t>预报员：</t>
    <phoneticPr fontId="5" type="noConversion"/>
  </si>
  <si>
    <t>地面结冰/极寒条件机场</t>
    <phoneticPr fontId="5" type="noConversion"/>
  </si>
  <si>
    <t>颜色说明</t>
    <phoneticPr fontId="5" type="noConversion"/>
  </si>
  <si>
    <t>大风</t>
    <phoneticPr fontId="5" type="noConversion"/>
  </si>
  <si>
    <t>降雪</t>
    <phoneticPr fontId="5" type="noConversion"/>
  </si>
  <si>
    <t>低能见度</t>
    <phoneticPr fontId="5" type="noConversion"/>
  </si>
  <si>
    <t>低云</t>
    <phoneticPr fontId="5" type="noConversion"/>
  </si>
  <si>
    <t>强降水</t>
    <phoneticPr fontId="5" type="noConversion"/>
  </si>
  <si>
    <t>其他</t>
    <phoneticPr fontId="5" type="noConversion"/>
  </si>
  <si>
    <t>发布说明</t>
    <phoneticPr fontId="5" type="noConversion"/>
  </si>
  <si>
    <t>1.本表结论依据数值预报和运行机场TAF报文综合分析，如有疑问咨询AOC气象服务席0755-23450527/1</t>
    <phoneticPr fontId="5" type="noConversion"/>
  </si>
  <si>
    <t>2.能见度和云高单位为”米”、风速单位为”米/秒“</t>
    <phoneticPr fontId="5" type="noConversion"/>
  </si>
  <si>
    <t>3.大风表示该时次预期最大阵风值，格式"dddf ，其中ddd为十六方位平均风向、f表示阵风风速，举例: NNE18即东北偏北风18米/秒、S19即南风19米/秒</t>
    <phoneticPr fontId="5" type="noConversion"/>
  </si>
  <si>
    <t>雷暴（包含关系）</t>
    <phoneticPr fontId="5" type="noConversion"/>
  </si>
  <si>
    <t>强降水（包含关系）</t>
    <phoneticPr fontId="5" type="noConversion"/>
  </si>
  <si>
    <t>雪（包含关系）</t>
    <phoneticPr fontId="5" type="noConversion"/>
  </si>
  <si>
    <t>大风（包含关系）</t>
    <phoneticPr fontId="5" type="noConversion"/>
  </si>
  <si>
    <t>低能见（包含关系）</t>
    <phoneticPr fontId="5" type="noConversion"/>
  </si>
  <si>
    <t>低云（相等关系）</t>
    <phoneticPr fontId="5" type="noConversion"/>
  </si>
  <si>
    <t>其它（包含关系）</t>
    <phoneticPr fontId="5" type="noConversion"/>
  </si>
  <si>
    <t>关键字</t>
    <phoneticPr fontId="5" type="noConversion"/>
  </si>
  <si>
    <t>关联天气</t>
    <phoneticPr fontId="5" type="noConversion"/>
  </si>
  <si>
    <t>关联天气</t>
    <phoneticPr fontId="5" type="noConversion"/>
  </si>
  <si>
    <t>雷</t>
    <phoneticPr fontId="5" type="noConversion"/>
  </si>
  <si>
    <t>弱雷雨</t>
    <phoneticPr fontId="5" type="noConversion"/>
  </si>
  <si>
    <t>小雨</t>
    <phoneticPr fontId="5" type="noConversion"/>
  </si>
  <si>
    <t>雪</t>
    <phoneticPr fontId="5" type="noConversion"/>
  </si>
  <si>
    <t>小雪</t>
    <phoneticPr fontId="5" type="noConversion"/>
  </si>
  <si>
    <t>E</t>
    <phoneticPr fontId="5" type="noConversion"/>
  </si>
  <si>
    <t>其它包含【E】的大风</t>
    <phoneticPr fontId="5" type="noConversion"/>
  </si>
  <si>
    <t>00</t>
    <phoneticPr fontId="5" type="noConversion"/>
  </si>
  <si>
    <t>尾数00能见度</t>
    <phoneticPr fontId="5" type="noConversion"/>
  </si>
  <si>
    <t>30</t>
    <phoneticPr fontId="5" type="noConversion"/>
  </si>
  <si>
    <t>云底高30</t>
    <phoneticPr fontId="5" type="noConversion"/>
  </si>
  <si>
    <t>冻雨</t>
    <phoneticPr fontId="5" type="noConversion"/>
  </si>
  <si>
    <t>弱冻雨</t>
    <phoneticPr fontId="5" type="noConversion"/>
  </si>
  <si>
    <t>中雷雨</t>
    <phoneticPr fontId="5" type="noConversion"/>
  </si>
  <si>
    <t>中雨</t>
    <phoneticPr fontId="5" type="noConversion"/>
  </si>
  <si>
    <t>中雪</t>
    <phoneticPr fontId="5" type="noConversion"/>
  </si>
  <si>
    <t>W</t>
    <phoneticPr fontId="5" type="noConversion"/>
  </si>
  <si>
    <t>其它包含【W】的大风</t>
    <phoneticPr fontId="5" type="noConversion"/>
  </si>
  <si>
    <t>50</t>
    <phoneticPr fontId="5" type="noConversion"/>
  </si>
  <si>
    <t>尾数50能见度</t>
    <phoneticPr fontId="5" type="noConversion"/>
  </si>
  <si>
    <t>60</t>
    <phoneticPr fontId="5" type="noConversion"/>
  </si>
  <si>
    <t>云底高60</t>
    <phoneticPr fontId="5" type="noConversion"/>
  </si>
  <si>
    <t>中冻雨</t>
    <phoneticPr fontId="5" type="noConversion"/>
  </si>
  <si>
    <t>强雷雨</t>
    <phoneticPr fontId="5" type="noConversion"/>
  </si>
  <si>
    <t>大雨</t>
    <phoneticPr fontId="5" type="noConversion"/>
  </si>
  <si>
    <t>大雪</t>
    <phoneticPr fontId="5" type="noConversion"/>
  </si>
  <si>
    <t>S</t>
    <phoneticPr fontId="5" type="noConversion"/>
  </si>
  <si>
    <t>其它包含【S】的大风</t>
    <phoneticPr fontId="5" type="noConversion"/>
  </si>
  <si>
    <t>90</t>
    <phoneticPr fontId="5" type="noConversion"/>
  </si>
  <si>
    <t>云底高90</t>
    <phoneticPr fontId="5" type="noConversion"/>
  </si>
  <si>
    <t>大冻雨</t>
    <phoneticPr fontId="5" type="noConversion"/>
  </si>
  <si>
    <t>雷伴雪</t>
    <phoneticPr fontId="5" type="noConversion"/>
  </si>
  <si>
    <t>小阵雨</t>
    <phoneticPr fontId="5" type="noConversion"/>
  </si>
  <si>
    <t>雷伴雪</t>
    <phoneticPr fontId="5" type="noConversion"/>
  </si>
  <si>
    <t>N</t>
    <phoneticPr fontId="5" type="noConversion"/>
  </si>
  <si>
    <t>其它包含【N】的大风</t>
    <phoneticPr fontId="5" type="noConversion"/>
  </si>
  <si>
    <t>120</t>
    <phoneticPr fontId="5" type="noConversion"/>
  </si>
  <si>
    <t>云底高120</t>
    <phoneticPr fontId="5" type="noConversion"/>
  </si>
  <si>
    <t>冻毛毛雨</t>
    <phoneticPr fontId="5" type="noConversion"/>
  </si>
  <si>
    <t>弱冻毛毛雨</t>
    <phoneticPr fontId="5" type="noConversion"/>
  </si>
  <si>
    <t>雷伴冰雹</t>
    <phoneticPr fontId="5" type="noConversion"/>
  </si>
  <si>
    <t>中阵雨</t>
    <phoneticPr fontId="5" type="noConversion"/>
  </si>
  <si>
    <t>中阵雨</t>
    <phoneticPr fontId="5" type="noConversion"/>
  </si>
  <si>
    <t>其它包含【雪】的天气现象</t>
    <phoneticPr fontId="5" type="noConversion"/>
  </si>
  <si>
    <t>150</t>
    <phoneticPr fontId="5" type="noConversion"/>
  </si>
  <si>
    <t>云底高150</t>
    <phoneticPr fontId="5" type="noConversion"/>
  </si>
  <si>
    <t>中冻毛毛雨</t>
    <phoneticPr fontId="5" type="noConversion"/>
  </si>
  <si>
    <t>其它包含【雷】的天气现象</t>
    <phoneticPr fontId="5" type="noConversion"/>
  </si>
  <si>
    <t>大阵雨</t>
    <phoneticPr fontId="5" type="noConversion"/>
  </si>
  <si>
    <t>大阵雨</t>
    <phoneticPr fontId="5" type="noConversion"/>
  </si>
  <si>
    <t>雨夹雪</t>
    <phoneticPr fontId="5" type="noConversion"/>
  </si>
  <si>
    <t>小雨夹雪</t>
    <phoneticPr fontId="5" type="noConversion"/>
  </si>
  <si>
    <t>180</t>
    <phoneticPr fontId="5" type="noConversion"/>
  </si>
  <si>
    <t>云底高180</t>
    <phoneticPr fontId="5" type="noConversion"/>
  </si>
  <si>
    <t>大冻毛毛雨</t>
    <phoneticPr fontId="5" type="noConversion"/>
  </si>
  <si>
    <t>雹</t>
    <phoneticPr fontId="5" type="noConversion"/>
  </si>
  <si>
    <t>冰雹</t>
    <phoneticPr fontId="5" type="noConversion"/>
  </si>
  <si>
    <t>小毛毛雨</t>
    <phoneticPr fontId="5" type="noConversion"/>
  </si>
  <si>
    <t>小毛毛雨</t>
    <phoneticPr fontId="5" type="noConversion"/>
  </si>
  <si>
    <t>中雨夹雪</t>
    <phoneticPr fontId="5" type="noConversion"/>
  </si>
  <si>
    <t>210</t>
    <phoneticPr fontId="5" type="noConversion"/>
  </si>
  <si>
    <t>云底高210</t>
    <phoneticPr fontId="5" type="noConversion"/>
  </si>
  <si>
    <t>沙</t>
    <phoneticPr fontId="5" type="noConversion"/>
  </si>
  <si>
    <t>扬沙</t>
    <phoneticPr fontId="5" type="noConversion"/>
  </si>
  <si>
    <t>小雹</t>
    <phoneticPr fontId="5" type="noConversion"/>
  </si>
  <si>
    <t>中毛毛雨</t>
    <phoneticPr fontId="5" type="noConversion"/>
  </si>
  <si>
    <t>中毛毛雨</t>
    <phoneticPr fontId="5" type="noConversion"/>
  </si>
  <si>
    <t>大雨夹雪</t>
    <phoneticPr fontId="5" type="noConversion"/>
  </si>
  <si>
    <t>240</t>
    <phoneticPr fontId="5" type="noConversion"/>
  </si>
  <si>
    <t>云底高240</t>
    <phoneticPr fontId="5" type="noConversion"/>
  </si>
  <si>
    <t>沙暴</t>
    <phoneticPr fontId="5" type="noConversion"/>
  </si>
  <si>
    <t>其它包含【雹】的天气现象</t>
    <phoneticPr fontId="5" type="noConversion"/>
  </si>
  <si>
    <t>大毛毛雨</t>
    <phoneticPr fontId="5" type="noConversion"/>
  </si>
  <si>
    <t>冰粒</t>
    <phoneticPr fontId="5" type="noConversion"/>
  </si>
  <si>
    <t>云底高或能见度为150时，会显示低云颜色，所以能见度尽量不要写150米，如有必要可手动调整</t>
    <phoneticPr fontId="5" type="noConversion"/>
  </si>
  <si>
    <t>高吹沙</t>
    <phoneticPr fontId="5" type="noConversion"/>
  </si>
  <si>
    <t>飑</t>
    <phoneticPr fontId="5" type="noConversion"/>
  </si>
  <si>
    <t>飑</t>
    <phoneticPr fontId="5" type="noConversion"/>
  </si>
  <si>
    <t>米雪</t>
    <phoneticPr fontId="5" type="noConversion"/>
  </si>
  <si>
    <t>米雪</t>
    <phoneticPr fontId="5" type="noConversion"/>
  </si>
  <si>
    <t>低吹沙</t>
    <phoneticPr fontId="5" type="noConversion"/>
  </si>
  <si>
    <t>漏斗云</t>
    <phoneticPr fontId="5" type="noConversion"/>
  </si>
  <si>
    <t>漏斗云</t>
    <phoneticPr fontId="5" type="noConversion"/>
  </si>
  <si>
    <t>尘</t>
    <phoneticPr fontId="5" type="noConversion"/>
  </si>
  <si>
    <t>浮尘</t>
    <phoneticPr fontId="5" type="noConversion"/>
  </si>
  <si>
    <t>尘暴</t>
    <phoneticPr fontId="5" type="noConversion"/>
  </si>
  <si>
    <t>高吹尘</t>
    <phoneticPr fontId="5" type="noConversion"/>
  </si>
  <si>
    <t>低吹尘</t>
    <phoneticPr fontId="5" type="noConversion"/>
  </si>
  <si>
    <t>火山灰</t>
    <phoneticPr fontId="5" type="noConversion"/>
  </si>
  <si>
    <t>火山灰</t>
    <phoneticPr fontId="5" type="noConversion"/>
  </si>
  <si>
    <t>烟</t>
    <phoneticPr fontId="5" type="noConversion"/>
  </si>
  <si>
    <t>烟</t>
    <phoneticPr fontId="5" type="noConversion"/>
  </si>
  <si>
    <t>霾</t>
    <phoneticPr fontId="5" type="noConversion"/>
  </si>
  <si>
    <t>霾</t>
    <phoneticPr fontId="5" type="noConversion"/>
  </si>
  <si>
    <t>旋风</t>
    <phoneticPr fontId="5" type="noConversion"/>
  </si>
  <si>
    <t>沙/尘旋风</t>
    <phoneticPr fontId="5" type="noConversion"/>
  </si>
  <si>
    <t>霜</t>
    <phoneticPr fontId="5" type="noConversion"/>
  </si>
  <si>
    <t>淞</t>
    <phoneticPr fontId="5" type="noConversion"/>
  </si>
  <si>
    <t>雾凇</t>
    <phoneticPr fontId="5" type="noConversion"/>
  </si>
  <si>
    <t>雨凇</t>
    <phoneticPr fontId="5" type="noConversion"/>
  </si>
  <si>
    <t>雷伴雪颜色同降雪</t>
    <phoneticPr fontId="1" type="noConversion"/>
  </si>
  <si>
    <t>霰</t>
    <phoneticPr fontId="5" type="noConversion"/>
  </si>
  <si>
    <t>冰晶</t>
    <phoneticPr fontId="5" type="noConversion"/>
  </si>
  <si>
    <t>冰晶</t>
    <phoneticPr fontId="5" type="noConversion"/>
  </si>
  <si>
    <t>雷暴</t>
    <phoneticPr fontId="1" type="noConversion"/>
  </si>
  <si>
    <t>北京首都</t>
  </si>
  <si>
    <t>枢纽</t>
  </si>
  <si>
    <t>深圳</t>
  </si>
  <si>
    <t>鄂州</t>
  </si>
  <si>
    <t>杭州</t>
  </si>
  <si>
    <t>嘉迈</t>
  </si>
  <si>
    <t>吉隆坡</t>
  </si>
  <si>
    <t>℃</t>
    <phoneticPr fontId="1" type="noConversion"/>
  </si>
  <si>
    <t>包含℃的高温和低温</t>
    <phoneticPr fontId="1" type="noConversion"/>
  </si>
  <si>
    <t>31-49</t>
    <phoneticPr fontId="1" type="noConversion"/>
  </si>
  <si>
    <t>不写℃的情况下，直接输入31-49之间的任意值也可显示对应颜色</t>
    <phoneticPr fontId="1" type="noConversion"/>
  </si>
  <si>
    <t>清迈</t>
    <phoneticPr fontId="1" type="noConversion"/>
  </si>
  <si>
    <t>清莱</t>
    <phoneticPr fontId="1" type="noConversion"/>
  </si>
  <si>
    <t>阿布扎比</t>
    <phoneticPr fontId="1" type="noConversion"/>
  </si>
  <si>
    <t>昆明</t>
    <phoneticPr fontId="1" type="noConversion"/>
  </si>
  <si>
    <t>南宁</t>
    <phoneticPr fontId="1" type="noConversion"/>
  </si>
  <si>
    <t>海口</t>
    <phoneticPr fontId="1" type="noConversion"/>
  </si>
  <si>
    <t>外包</t>
    <phoneticPr fontId="1" type="noConversion"/>
  </si>
  <si>
    <t>适航</t>
    <phoneticPr fontId="1" type="noConversion"/>
  </si>
  <si>
    <t>适航</t>
    <phoneticPr fontId="1" type="noConversion"/>
  </si>
  <si>
    <t>炎热天气</t>
    <phoneticPr fontId="1" type="noConversion"/>
  </si>
  <si>
    <t>短时</t>
    <phoneticPr fontId="1" type="noConversion"/>
  </si>
  <si>
    <t>间歇性</t>
    <phoneticPr fontId="1" type="noConversion"/>
  </si>
  <si>
    <t>炎热天气</t>
    <phoneticPr fontId="1" type="noConversion"/>
  </si>
  <si>
    <t>无</t>
    <phoneticPr fontId="1" type="noConversion"/>
  </si>
  <si>
    <t>苏永发</t>
  </si>
  <si>
    <t>机场/终端区</t>
    <phoneticPr fontId="1" type="noConversion"/>
  </si>
  <si>
    <t>最大阵风</t>
    <phoneticPr fontId="1" type="noConversion"/>
  </si>
  <si>
    <t>中雷雨</t>
    <phoneticPr fontId="1" type="noConversion"/>
  </si>
  <si>
    <t>中阵雨</t>
    <phoneticPr fontId="1" type="noConversion"/>
  </si>
  <si>
    <t>大阵雨</t>
    <phoneticPr fontId="1" type="noConversion"/>
  </si>
  <si>
    <t>小阵雨</t>
    <phoneticPr fontId="1" type="noConversion"/>
  </si>
  <si>
    <t>小阵雨</t>
    <phoneticPr fontId="1" type="noConversion"/>
  </si>
  <si>
    <t>NW11</t>
    <phoneticPr fontId="1" type="noConversion"/>
  </si>
  <si>
    <t>NW14</t>
  </si>
  <si>
    <t>NW14</t>
    <phoneticPr fontId="1" type="noConversion"/>
  </si>
  <si>
    <t>NW14</t>
    <phoneticPr fontId="1" type="noConversion"/>
  </si>
  <si>
    <t>NW17</t>
  </si>
  <si>
    <t>NW19</t>
  </si>
  <si>
    <t>NW18</t>
    <phoneticPr fontId="1" type="noConversion"/>
  </si>
  <si>
    <t>NW23</t>
    <phoneticPr fontId="1" type="noConversion"/>
  </si>
  <si>
    <t>NW24</t>
    <phoneticPr fontId="1" type="noConversion"/>
  </si>
  <si>
    <t>NW22</t>
    <phoneticPr fontId="1" type="noConversion"/>
  </si>
  <si>
    <t>NW22</t>
    <phoneticPr fontId="1" type="noConversion"/>
  </si>
  <si>
    <t>义乌</t>
    <phoneticPr fontId="1" type="noConversion"/>
  </si>
  <si>
    <t>东南风3-5米/秒</t>
    <phoneticPr fontId="1" type="noConversion"/>
  </si>
  <si>
    <t>37℃</t>
  </si>
  <si>
    <t>37℃</t>
    <phoneticPr fontId="1" type="noConversion"/>
  </si>
  <si>
    <t>38℃</t>
  </si>
  <si>
    <t>39℃</t>
  </si>
  <si>
    <t>40℃</t>
  </si>
  <si>
    <t>36℃</t>
    <phoneticPr fontId="1" type="noConversion"/>
  </si>
  <si>
    <t>35℃</t>
    <phoneticPr fontId="1" type="noConversion"/>
  </si>
  <si>
    <t>35℃</t>
    <phoneticPr fontId="1" type="noConversion"/>
  </si>
  <si>
    <t>35℃</t>
    <phoneticPr fontId="1" type="noConversion"/>
  </si>
  <si>
    <t>36℃</t>
    <phoneticPr fontId="1" type="noConversion"/>
  </si>
  <si>
    <t>38℃</t>
    <phoneticPr fontId="1" type="noConversion"/>
  </si>
  <si>
    <t>无航班</t>
    <phoneticPr fontId="1" type="noConversion"/>
  </si>
  <si>
    <t>41℃</t>
    <phoneticPr fontId="1" type="noConversion"/>
  </si>
  <si>
    <t>44℃</t>
  </si>
  <si>
    <t>43℃</t>
    <phoneticPr fontId="1" type="noConversion"/>
  </si>
  <si>
    <t>44℃</t>
    <phoneticPr fontId="1" type="noConversion"/>
  </si>
  <si>
    <t>42℃</t>
    <phoneticPr fontId="1" type="noConversion"/>
  </si>
  <si>
    <t>40℃</t>
    <phoneticPr fontId="1" type="noConversion"/>
  </si>
  <si>
    <t>38℃</t>
    <phoneticPr fontId="1" type="noConversion"/>
  </si>
  <si>
    <t>36℃</t>
    <phoneticPr fontId="1" type="noConversion"/>
  </si>
  <si>
    <t>35℃</t>
    <phoneticPr fontId="1" type="noConversion"/>
  </si>
  <si>
    <t>35℃</t>
    <phoneticPr fontId="1" type="noConversion"/>
  </si>
  <si>
    <t>38℃</t>
    <phoneticPr fontId="1" type="noConversion"/>
  </si>
  <si>
    <t>40℃</t>
    <phoneticPr fontId="1" type="noConversion"/>
  </si>
  <si>
    <t>机场/终端区</t>
    <phoneticPr fontId="1" type="noConversion"/>
  </si>
  <si>
    <t>弱雷雨</t>
    <phoneticPr fontId="1" type="noConversion"/>
  </si>
  <si>
    <t>3-6个量低云</t>
    <phoneticPr fontId="1" type="noConversion"/>
  </si>
  <si>
    <t>东南风3-4m/s</t>
    <phoneticPr fontId="1" type="noConversion"/>
  </si>
  <si>
    <t>5000+</t>
    <phoneticPr fontId="1" type="noConversion"/>
  </si>
  <si>
    <t>石家庄</t>
    <phoneticPr fontId="1" type="noConversion"/>
  </si>
  <si>
    <t>/</t>
    <phoneticPr fontId="1" type="noConversion"/>
  </si>
  <si>
    <t>青岛</t>
    <phoneticPr fontId="1" type="noConversion"/>
  </si>
  <si>
    <t>弱雷雨</t>
    <phoneticPr fontId="1" type="noConversion"/>
  </si>
  <si>
    <t>郑州</t>
    <phoneticPr fontId="1" type="noConversion"/>
  </si>
  <si>
    <t>厦门</t>
    <phoneticPr fontId="1" type="noConversion"/>
  </si>
  <si>
    <t>中阵雨</t>
    <phoneticPr fontId="1" type="noConversion"/>
  </si>
  <si>
    <t>小阵雨</t>
    <phoneticPr fontId="1" type="noConversion"/>
  </si>
  <si>
    <t>中阵雨</t>
    <phoneticPr fontId="1" type="noConversion"/>
  </si>
  <si>
    <t>中阵雨</t>
    <phoneticPr fontId="1" type="noConversion"/>
  </si>
  <si>
    <t>中阵雨</t>
    <phoneticPr fontId="1" type="noConversion"/>
  </si>
  <si>
    <t>泉州</t>
    <phoneticPr fontId="1" type="noConversion"/>
  </si>
  <si>
    <t>小阵雨</t>
    <phoneticPr fontId="1" type="noConversion"/>
  </si>
  <si>
    <t>中阵雨</t>
    <phoneticPr fontId="1" type="noConversion"/>
  </si>
  <si>
    <t>中阵雨</t>
    <phoneticPr fontId="1" type="noConversion"/>
  </si>
  <si>
    <t>小阵雨</t>
    <phoneticPr fontId="1" type="noConversion"/>
  </si>
  <si>
    <t>间歇性</t>
    <phoneticPr fontId="1" type="noConversion"/>
  </si>
  <si>
    <t>中阵雨</t>
    <phoneticPr fontId="1" type="noConversion"/>
  </si>
  <si>
    <t>间歇性/短时伴雷暴</t>
    <phoneticPr fontId="1" type="noConversion"/>
  </si>
  <si>
    <t>广州</t>
    <phoneticPr fontId="1" type="noConversion"/>
  </si>
  <si>
    <t>最大阵风</t>
    <phoneticPr fontId="1" type="noConversion"/>
  </si>
  <si>
    <t>NW15</t>
    <phoneticPr fontId="1" type="noConversion"/>
  </si>
  <si>
    <t>NW17</t>
    <phoneticPr fontId="1" type="noConversion"/>
  </si>
  <si>
    <t>NW17</t>
    <phoneticPr fontId="1" type="noConversion"/>
  </si>
  <si>
    <t>NW19</t>
    <phoneticPr fontId="1" type="noConversion"/>
  </si>
  <si>
    <t>珠海</t>
    <phoneticPr fontId="1" type="noConversion"/>
  </si>
  <si>
    <t>小阵雨</t>
    <phoneticPr fontId="1" type="noConversion"/>
  </si>
  <si>
    <t>SW16</t>
    <phoneticPr fontId="1" type="noConversion"/>
  </si>
  <si>
    <t>SW16</t>
    <phoneticPr fontId="1" type="noConversion"/>
  </si>
  <si>
    <t>SW16</t>
    <phoneticPr fontId="1" type="noConversion"/>
  </si>
  <si>
    <t>SW17</t>
    <phoneticPr fontId="1" type="noConversion"/>
  </si>
  <si>
    <t>SW17</t>
    <phoneticPr fontId="1" type="noConversion"/>
  </si>
  <si>
    <t>SW17</t>
    <phoneticPr fontId="1" type="noConversion"/>
  </si>
  <si>
    <t>SW19</t>
    <phoneticPr fontId="1" type="noConversion"/>
  </si>
  <si>
    <t>SW19</t>
    <phoneticPr fontId="1" type="noConversion"/>
  </si>
  <si>
    <t>弱雷雨</t>
    <phoneticPr fontId="1" type="noConversion"/>
  </si>
  <si>
    <t>成都</t>
    <phoneticPr fontId="1" type="noConversion"/>
  </si>
  <si>
    <t>39℃</t>
    <phoneticPr fontId="1" type="noConversion"/>
  </si>
  <si>
    <t>40℃</t>
    <phoneticPr fontId="1" type="noConversion"/>
  </si>
  <si>
    <t>38℃</t>
    <phoneticPr fontId="1" type="noConversion"/>
  </si>
  <si>
    <t>37℃</t>
    <phoneticPr fontId="1" type="noConversion"/>
  </si>
  <si>
    <t>36℃</t>
    <phoneticPr fontId="1" type="noConversion"/>
  </si>
  <si>
    <t>重庆</t>
    <phoneticPr fontId="1" type="noConversion"/>
  </si>
  <si>
    <t>38℃</t>
    <phoneticPr fontId="1" type="noConversion"/>
  </si>
  <si>
    <t>37℃</t>
    <phoneticPr fontId="1" type="noConversion"/>
  </si>
  <si>
    <t>35℃</t>
    <phoneticPr fontId="1" type="noConversion"/>
  </si>
  <si>
    <t>37℃</t>
    <phoneticPr fontId="1" type="noConversion"/>
  </si>
  <si>
    <t>新加坡</t>
    <phoneticPr fontId="1" type="noConversion"/>
  </si>
  <si>
    <t>机场/终端区</t>
    <phoneticPr fontId="1" type="noConversion"/>
  </si>
  <si>
    <t>弱雷雨</t>
    <phoneticPr fontId="1" type="noConversion"/>
  </si>
  <si>
    <t>曼谷</t>
    <phoneticPr fontId="1" type="noConversion"/>
  </si>
  <si>
    <t>德里</t>
    <phoneticPr fontId="1" type="noConversion"/>
  </si>
  <si>
    <t>弱雷雨</t>
    <phoneticPr fontId="1" type="noConversion"/>
  </si>
  <si>
    <t>香港</t>
    <phoneticPr fontId="1" type="noConversion"/>
  </si>
  <si>
    <t>小阵雨</t>
    <phoneticPr fontId="1" type="noConversion"/>
  </si>
  <si>
    <t>中阵雨</t>
    <phoneticPr fontId="1" type="noConversion"/>
  </si>
  <si>
    <t>大阵雨</t>
    <phoneticPr fontId="1" type="noConversion"/>
  </si>
  <si>
    <t>中阵雨</t>
    <phoneticPr fontId="1" type="noConversion"/>
  </si>
  <si>
    <t>大阵雨</t>
    <phoneticPr fontId="1" type="noConversion"/>
  </si>
  <si>
    <t>中阵雨</t>
    <phoneticPr fontId="1" type="noConversion"/>
  </si>
  <si>
    <t>中阵雨</t>
    <phoneticPr fontId="1" type="noConversion"/>
  </si>
  <si>
    <t>最大阵风</t>
    <phoneticPr fontId="1" type="noConversion"/>
  </si>
  <si>
    <t>NW17</t>
    <phoneticPr fontId="1" type="noConversion"/>
  </si>
  <si>
    <t>NW20</t>
    <phoneticPr fontId="1" type="noConversion"/>
  </si>
  <si>
    <t>NW22</t>
    <phoneticPr fontId="1" type="noConversion"/>
  </si>
  <si>
    <t>W22</t>
    <phoneticPr fontId="1" type="noConversion"/>
  </si>
  <si>
    <t>SW22</t>
    <phoneticPr fontId="1" type="noConversion"/>
  </si>
  <si>
    <t>SW22</t>
    <phoneticPr fontId="1" type="noConversion"/>
  </si>
  <si>
    <t>SW20</t>
    <phoneticPr fontId="1" type="noConversion"/>
  </si>
  <si>
    <t>SW19</t>
    <phoneticPr fontId="1" type="noConversion"/>
  </si>
  <si>
    <t>南通</t>
    <phoneticPr fontId="1" type="noConversion"/>
  </si>
  <si>
    <t>无锡</t>
    <phoneticPr fontId="1" type="noConversion"/>
  </si>
  <si>
    <t>炎热天气</t>
    <phoneticPr fontId="1" type="noConversion"/>
  </si>
  <si>
    <t>35℃</t>
    <phoneticPr fontId="1" type="noConversion"/>
  </si>
  <si>
    <t>槟城</t>
    <phoneticPr fontId="1" type="noConversion"/>
  </si>
  <si>
    <t>弱雷雨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</si>
</sst>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h&quot;时&quot;"/>
    <numFmt numFmtId="177" formatCode="yyyy/m/d;@"/>
    <numFmt numFmtId="178" formatCode="[$-F800]dddd\,\ mmmm\ dd\,\ yyyy"/>
  </numFmts>
  <fonts count="15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2"/>
      <color theme="0"/>
      <name val="微软雅黑 Light"/>
      <family val="2"/>
      <charset val="134"/>
    </font>
    <font>
      <sz val="12"/>
      <color theme="0"/>
      <name val="微软雅黑 Light"/>
      <family val="2"/>
      <charset val="134"/>
    </font>
    <font>
      <b/>
      <sz val="11"/>
      <color theme="0"/>
      <name val="微软雅黑 Light"/>
      <family val="2"/>
      <charset val="134"/>
    </font>
    <font>
      <sz val="9"/>
      <name val="思源黑体 Bold"/>
      <charset val="134"/>
    </font>
    <font>
      <b/>
      <sz val="48"/>
      <color theme="0"/>
      <name val="微软雅黑"/>
      <family val="2"/>
      <charset val="134"/>
    </font>
    <font>
      <b/>
      <sz val="36"/>
      <color theme="0"/>
      <name val="微软雅黑 Light"/>
      <family val="2"/>
      <charset val="134"/>
    </font>
    <font>
      <b/>
      <sz val="12"/>
      <name val="微软雅黑 Light"/>
      <family val="2"/>
      <charset val="134"/>
    </font>
    <font>
      <b/>
      <sz val="20"/>
      <color theme="0"/>
      <name val="微软雅黑 Light"/>
      <family val="2"/>
      <charset val="134"/>
    </font>
    <font>
      <sz val="12"/>
      <name val="微软雅黑 Light"/>
      <family val="2"/>
      <charset val="134"/>
    </font>
    <font>
      <b/>
      <sz val="12"/>
      <color theme="1" tint="0.14996795556505021"/>
      <name val="微软雅黑 Light"/>
      <family val="2"/>
      <charset val="134"/>
    </font>
    <font>
      <sz val="12"/>
      <color theme="1" tint="0.14996795556505021"/>
      <name val="微软雅黑 Light"/>
      <family val="2"/>
      <charset val="134"/>
    </font>
    <font>
      <sz val="12"/>
      <color theme="1"/>
      <name val="思源黑体 Bold"/>
      <charset val="134"/>
    </font>
    <font>
      <sz val="12"/>
      <color rgb="FFC00000"/>
      <name val="微软雅黑 Light"/>
      <family val="2"/>
      <charset val="134"/>
    </font>
  </fonts>
  <fills count="15">
    <fill>
      <patternFill patternType="none"/>
    </fill>
    <fill>
      <patternFill patternType="gray125"/>
    </fill>
    <fill>
      <patternFill patternType="solid">
        <fgColor rgb="FF54616A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medium">
        <color indexed="64"/>
      </left>
      <right/>
      <top style="thin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n">
        <color theme="0" tint="-0.249946592608417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indexed="64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medium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theme="0" tint="-0.24994659260841701"/>
      </right>
      <top/>
      <bottom style="medium">
        <color indexed="64"/>
      </bottom>
      <diagonal/>
    </border>
    <border>
      <left style="thin">
        <color theme="0" tint="-0.2499465926084170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 diagonalDown="1"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 style="thin">
        <color theme="0" tint="-0.24994659260841701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1">
    <xf numFmtId="178" fontId="0" fillId="0" borderId="0"/>
  </cellStyleXfs>
  <cellXfs count="129">
    <xf numFmtId="178" fontId="0" fillId="0" borderId="0" xfId="0"/>
    <xf numFmtId="176" fontId="3" fillId="2" borderId="5" xfId="0" applyNumberFormat="1" applyFont="1" applyFill="1" applyBorder="1" applyAlignment="1">
      <alignment horizontal="center" vertical="center"/>
    </xf>
    <xf numFmtId="176" fontId="2" fillId="2" borderId="5" xfId="0" applyNumberFormat="1" applyFont="1" applyFill="1" applyBorder="1" applyAlignment="1">
      <alignment horizontal="center" vertical="center"/>
    </xf>
    <xf numFmtId="176" fontId="2" fillId="2" borderId="6" xfId="0" applyNumberFormat="1" applyFont="1" applyFill="1" applyBorder="1" applyAlignment="1">
      <alignment horizontal="center" vertical="center"/>
    </xf>
    <xf numFmtId="178" fontId="4" fillId="2" borderId="5" xfId="0" applyFont="1" applyFill="1" applyBorder="1" applyAlignment="1">
      <alignment horizontal="center" vertical="center"/>
    </xf>
    <xf numFmtId="178" fontId="2" fillId="2" borderId="8" xfId="0" applyNumberFormat="1" applyFont="1" applyFill="1" applyBorder="1" applyAlignment="1">
      <alignment horizontal="center" vertical="center"/>
    </xf>
    <xf numFmtId="178" fontId="2" fillId="2" borderId="9" xfId="0" applyNumberFormat="1" applyFont="1" applyFill="1" applyBorder="1" applyAlignment="1">
      <alignment horizontal="center" vertical="center"/>
    </xf>
    <xf numFmtId="178" fontId="2" fillId="2" borderId="13" xfId="0" applyNumberFormat="1" applyFont="1" applyFill="1" applyBorder="1" applyAlignment="1">
      <alignment horizontal="center" vertical="center"/>
    </xf>
    <xf numFmtId="178" fontId="2" fillId="2" borderId="0" xfId="0" applyNumberFormat="1" applyFont="1" applyFill="1" applyBorder="1" applyAlignment="1">
      <alignment horizontal="center" vertical="center"/>
    </xf>
    <xf numFmtId="177" fontId="2" fillId="2" borderId="0" xfId="0" applyNumberFormat="1" applyFont="1" applyFill="1" applyBorder="1" applyAlignment="1">
      <alignment horizontal="center" vertical="center"/>
    </xf>
    <xf numFmtId="177" fontId="2" fillId="2" borderId="14" xfId="0" applyNumberFormat="1" applyFont="1" applyFill="1" applyBorder="1" applyAlignment="1">
      <alignment horizontal="center" vertical="center"/>
    </xf>
    <xf numFmtId="178" fontId="7" fillId="2" borderId="15" xfId="0" applyNumberFormat="1" applyFont="1" applyFill="1" applyBorder="1" applyAlignment="1">
      <alignment vertical="center"/>
    </xf>
    <xf numFmtId="178" fontId="7" fillId="2" borderId="16" xfId="0" applyNumberFormat="1" applyFont="1" applyFill="1" applyBorder="1" applyAlignment="1">
      <alignment vertical="center"/>
    </xf>
    <xf numFmtId="177" fontId="7" fillId="2" borderId="16" xfId="0" applyNumberFormat="1" applyFont="1" applyFill="1" applyBorder="1" applyAlignment="1">
      <alignment vertical="center"/>
    </xf>
    <xf numFmtId="178" fontId="2" fillId="2" borderId="16" xfId="0" applyNumberFormat="1" applyFont="1" applyFill="1" applyBorder="1" applyAlignment="1">
      <alignment horizontal="center" vertical="center"/>
    </xf>
    <xf numFmtId="178" fontId="2" fillId="2" borderId="17" xfId="0" applyNumberFormat="1" applyFont="1" applyFill="1" applyBorder="1" applyAlignment="1">
      <alignment horizontal="center" vertical="center"/>
    </xf>
    <xf numFmtId="178" fontId="2" fillId="2" borderId="0" xfId="0" applyNumberFormat="1" applyFont="1" applyFill="1" applyBorder="1" applyAlignment="1">
      <alignment horizontal="center" vertical="center"/>
    </xf>
    <xf numFmtId="178" fontId="10" fillId="8" borderId="18" xfId="0" applyFont="1" applyFill="1" applyBorder="1" applyAlignment="1" applyProtection="1">
      <alignment horizontal="center" vertical="center"/>
    </xf>
    <xf numFmtId="178" fontId="10" fillId="5" borderId="18" xfId="0" applyFont="1" applyFill="1" applyBorder="1" applyAlignment="1" applyProtection="1">
      <alignment horizontal="center" vertical="center"/>
    </xf>
    <xf numFmtId="178" fontId="0" fillId="0" borderId="13" xfId="0" applyBorder="1"/>
    <xf numFmtId="178" fontId="12" fillId="7" borderId="2" xfId="0" applyNumberFormat="1" applyFont="1" applyFill="1" applyBorder="1" applyAlignment="1">
      <alignment horizontal="center" vertical="center"/>
    </xf>
    <xf numFmtId="178" fontId="12" fillId="7" borderId="33" xfId="0" applyNumberFormat="1" applyFont="1" applyFill="1" applyBorder="1" applyAlignment="1">
      <alignment horizontal="center" vertical="center"/>
    </xf>
    <xf numFmtId="178" fontId="12" fillId="7" borderId="5" xfId="0" applyNumberFormat="1" applyFont="1" applyFill="1" applyBorder="1" applyAlignment="1">
      <alignment horizontal="center" vertical="center"/>
    </xf>
    <xf numFmtId="177" fontId="12" fillId="7" borderId="33" xfId="0" applyNumberFormat="1" applyFont="1" applyFill="1" applyBorder="1" applyAlignment="1">
      <alignment horizontal="center" vertical="center"/>
    </xf>
    <xf numFmtId="177" fontId="12" fillId="7" borderId="4" xfId="0" applyNumberFormat="1" applyFont="1" applyFill="1" applyBorder="1" applyAlignment="1">
      <alignment horizontal="center" vertical="center"/>
    </xf>
    <xf numFmtId="177" fontId="12" fillId="7" borderId="34" xfId="0" applyNumberFormat="1" applyFont="1" applyFill="1" applyBorder="1" applyAlignment="1">
      <alignment horizontal="center" vertical="center"/>
    </xf>
    <xf numFmtId="178" fontId="13" fillId="0" borderId="0" xfId="0" applyFont="1" applyAlignment="1">
      <alignment horizontal="center" vertical="center"/>
    </xf>
    <xf numFmtId="178" fontId="13" fillId="13" borderId="38" xfId="0" applyFont="1" applyFill="1" applyBorder="1" applyAlignment="1">
      <alignment horizontal="center" vertical="center"/>
    </xf>
    <xf numFmtId="178" fontId="13" fillId="14" borderId="39" xfId="0" applyFont="1" applyFill="1" applyBorder="1" applyAlignment="1">
      <alignment horizontal="center" vertical="center"/>
    </xf>
    <xf numFmtId="178" fontId="13" fillId="14" borderId="40" xfId="0" applyFont="1" applyFill="1" applyBorder="1" applyAlignment="1">
      <alignment horizontal="center" vertical="center"/>
    </xf>
    <xf numFmtId="178" fontId="13" fillId="0" borderId="39" xfId="0" applyFont="1" applyBorder="1" applyAlignment="1">
      <alignment horizontal="center" vertical="center"/>
    </xf>
    <xf numFmtId="178" fontId="13" fillId="0" borderId="38" xfId="0" applyFont="1" applyBorder="1" applyAlignment="1">
      <alignment horizontal="center" vertical="center"/>
    </xf>
    <xf numFmtId="178" fontId="13" fillId="0" borderId="40" xfId="0" applyFont="1" applyBorder="1" applyAlignment="1">
      <alignment horizontal="center" vertical="center"/>
    </xf>
    <xf numFmtId="49" fontId="13" fillId="0" borderId="38" xfId="0" applyNumberFormat="1" applyFont="1" applyBorder="1" applyAlignment="1">
      <alignment horizontal="center" vertical="center"/>
    </xf>
    <xf numFmtId="49" fontId="13" fillId="0" borderId="41" xfId="0" applyNumberFormat="1" applyFont="1" applyBorder="1" applyAlignment="1">
      <alignment horizontal="center" vertical="center"/>
    </xf>
    <xf numFmtId="178" fontId="13" fillId="0" borderId="42" xfId="0" applyFont="1" applyBorder="1" applyAlignment="1">
      <alignment horizontal="center" vertical="center"/>
    </xf>
    <xf numFmtId="178" fontId="13" fillId="6" borderId="40" xfId="0" applyFont="1" applyFill="1" applyBorder="1" applyAlignment="1">
      <alignment horizontal="center" vertical="center"/>
    </xf>
    <xf numFmtId="178" fontId="13" fillId="0" borderId="41" xfId="0" applyFont="1" applyBorder="1" applyAlignment="1">
      <alignment horizontal="center" vertical="center"/>
    </xf>
    <xf numFmtId="178" fontId="13" fillId="0" borderId="43" xfId="0" applyFont="1" applyBorder="1" applyAlignment="1">
      <alignment horizontal="center" vertical="center"/>
    </xf>
    <xf numFmtId="49" fontId="13" fillId="6" borderId="38" xfId="0" applyNumberFormat="1" applyFont="1" applyFill="1" applyBorder="1" applyAlignment="1">
      <alignment horizontal="center" vertical="center"/>
    </xf>
    <xf numFmtId="178" fontId="13" fillId="6" borderId="39" xfId="0" applyFont="1" applyFill="1" applyBorder="1" applyAlignment="1">
      <alignment horizontal="center" vertical="center"/>
    </xf>
    <xf numFmtId="178" fontId="13" fillId="0" borderId="41" xfId="0" applyFont="1" applyBorder="1" applyAlignment="1">
      <alignment horizontal="center" vertical="center"/>
    </xf>
    <xf numFmtId="0" fontId="2" fillId="2" borderId="0" xfId="0" applyNumberFormat="1" applyFont="1" applyFill="1" applyBorder="1" applyAlignment="1">
      <alignment horizontal="center" vertical="center"/>
    </xf>
    <xf numFmtId="0" fontId="3" fillId="2" borderId="5" xfId="0" applyNumberFormat="1" applyFont="1" applyFill="1" applyBorder="1" applyAlignment="1">
      <alignment horizontal="center" vertical="center"/>
    </xf>
    <xf numFmtId="0" fontId="3" fillId="2" borderId="6" xfId="0" applyNumberFormat="1" applyFont="1" applyFill="1" applyBorder="1" applyAlignment="1">
      <alignment horizontal="center" vertical="center"/>
    </xf>
    <xf numFmtId="178" fontId="10" fillId="7" borderId="18" xfId="0" applyNumberFormat="1" applyFont="1" applyFill="1" applyBorder="1" applyAlignment="1">
      <alignment vertical="center"/>
    </xf>
    <xf numFmtId="178" fontId="10" fillId="6" borderId="18" xfId="0" applyFont="1" applyFill="1" applyBorder="1" applyAlignment="1" applyProtection="1">
      <alignment horizontal="left" vertical="center"/>
    </xf>
    <xf numFmtId="178" fontId="10" fillId="9" borderId="18" xfId="0" applyFont="1" applyFill="1" applyBorder="1" applyAlignment="1" applyProtection="1">
      <alignment horizontal="left" vertical="center"/>
    </xf>
    <xf numFmtId="178" fontId="10" fillId="10" borderId="18" xfId="0" applyFont="1" applyFill="1" applyBorder="1" applyAlignment="1" applyProtection="1">
      <alignment horizontal="left" vertical="center"/>
    </xf>
    <xf numFmtId="178" fontId="10" fillId="11" borderId="18" xfId="0" applyFont="1" applyFill="1" applyBorder="1" applyAlignment="1" applyProtection="1">
      <alignment horizontal="left" vertical="center"/>
    </xf>
    <xf numFmtId="178" fontId="14" fillId="3" borderId="23" xfId="0" applyNumberFormat="1" applyFont="1" applyFill="1" applyBorder="1" applyAlignment="1">
      <alignment vertical="center"/>
    </xf>
    <xf numFmtId="0" fontId="10" fillId="7" borderId="5" xfId="0" applyNumberFormat="1" applyFont="1" applyFill="1" applyBorder="1" applyAlignment="1">
      <alignment horizontal="center" vertical="center"/>
    </xf>
    <xf numFmtId="178" fontId="13" fillId="0" borderId="45" xfId="0" applyFont="1" applyBorder="1" applyAlignment="1">
      <alignment horizontal="center" vertical="center"/>
    </xf>
    <xf numFmtId="178" fontId="12" fillId="7" borderId="46" xfId="0" applyNumberFormat="1" applyFont="1" applyFill="1" applyBorder="1" applyAlignment="1">
      <alignment horizontal="center" vertical="center"/>
    </xf>
    <xf numFmtId="178" fontId="12" fillId="7" borderId="47" xfId="0" applyNumberFormat="1" applyFont="1" applyFill="1" applyBorder="1" applyAlignment="1">
      <alignment horizontal="center" vertical="center"/>
    </xf>
    <xf numFmtId="178" fontId="12" fillId="7" borderId="48" xfId="0" applyNumberFormat="1" applyFont="1" applyFill="1" applyBorder="1" applyAlignment="1">
      <alignment horizontal="center" vertical="center"/>
    </xf>
    <xf numFmtId="178" fontId="12" fillId="7" borderId="49" xfId="0" applyNumberFormat="1" applyFont="1" applyFill="1" applyBorder="1" applyAlignment="1">
      <alignment horizontal="center" vertical="center"/>
    </xf>
    <xf numFmtId="177" fontId="12" fillId="7" borderId="46" xfId="0" applyNumberFormat="1" applyFont="1" applyFill="1" applyBorder="1" applyAlignment="1">
      <alignment horizontal="center" vertical="center"/>
    </xf>
    <xf numFmtId="177" fontId="12" fillId="7" borderId="47" xfId="0" applyNumberFormat="1" applyFont="1" applyFill="1" applyBorder="1" applyAlignment="1">
      <alignment horizontal="center" vertical="center"/>
    </xf>
    <xf numFmtId="178" fontId="2" fillId="2" borderId="1" xfId="0" applyNumberFormat="1" applyFont="1" applyFill="1" applyBorder="1" applyAlignment="1">
      <alignment horizontal="center" vertical="center"/>
    </xf>
    <xf numFmtId="178" fontId="2" fillId="2" borderId="2" xfId="0" applyNumberFormat="1" applyFont="1" applyFill="1" applyBorder="1" applyAlignment="1">
      <alignment horizontal="center" vertical="center"/>
    </xf>
    <xf numFmtId="178" fontId="11" fillId="7" borderId="1" xfId="0" applyNumberFormat="1" applyFont="1" applyFill="1" applyBorder="1" applyAlignment="1" applyProtection="1">
      <alignment horizontal="center" vertical="center"/>
    </xf>
    <xf numFmtId="178" fontId="11" fillId="7" borderId="7" xfId="0" applyNumberFormat="1" applyFont="1" applyFill="1" applyBorder="1" applyAlignment="1" applyProtection="1">
      <alignment horizontal="center" vertical="center"/>
    </xf>
    <xf numFmtId="178" fontId="11" fillId="7" borderId="2" xfId="0" applyNumberFormat="1" applyFont="1" applyFill="1" applyBorder="1" applyAlignment="1" applyProtection="1">
      <alignment horizontal="center" vertical="center"/>
    </xf>
    <xf numFmtId="178" fontId="11" fillId="7" borderId="13" xfId="0" applyNumberFormat="1" applyFont="1" applyFill="1" applyBorder="1" applyAlignment="1" applyProtection="1">
      <alignment horizontal="center" vertical="center"/>
    </xf>
    <xf numFmtId="178" fontId="11" fillId="7" borderId="0" xfId="0" applyNumberFormat="1" applyFont="1" applyFill="1" applyBorder="1" applyAlignment="1" applyProtection="1">
      <alignment horizontal="center" vertical="center"/>
    </xf>
    <xf numFmtId="178" fontId="11" fillId="7" borderId="26" xfId="0" applyNumberFormat="1" applyFont="1" applyFill="1" applyBorder="1" applyAlignment="1" applyProtection="1">
      <alignment horizontal="center" vertical="center"/>
    </xf>
    <xf numFmtId="178" fontId="11" fillId="7" borderId="28" xfId="0" applyNumberFormat="1" applyFont="1" applyFill="1" applyBorder="1" applyAlignment="1" applyProtection="1">
      <alignment horizontal="center" vertical="center"/>
    </xf>
    <xf numFmtId="178" fontId="11" fillId="7" borderId="29" xfId="0" applyNumberFormat="1" applyFont="1" applyFill="1" applyBorder="1" applyAlignment="1" applyProtection="1">
      <alignment horizontal="center" vertical="center"/>
    </xf>
    <xf numFmtId="178" fontId="11" fillId="7" borderId="30" xfId="0" applyNumberFormat="1" applyFont="1" applyFill="1" applyBorder="1" applyAlignment="1" applyProtection="1">
      <alignment horizontal="center" vertical="center"/>
    </xf>
    <xf numFmtId="178" fontId="10" fillId="0" borderId="18" xfId="0" applyFont="1" applyFill="1" applyBorder="1" applyAlignment="1" applyProtection="1">
      <alignment horizontal="left" vertical="center"/>
    </xf>
    <xf numFmtId="178" fontId="10" fillId="0" borderId="4" xfId="0" applyFont="1" applyFill="1" applyBorder="1" applyAlignment="1" applyProtection="1">
      <alignment horizontal="left" vertical="center"/>
    </xf>
    <xf numFmtId="178" fontId="0" fillId="0" borderId="3" xfId="0" applyBorder="1" applyAlignment="1">
      <alignment horizontal="center"/>
    </xf>
    <xf numFmtId="178" fontId="0" fillId="0" borderId="18" xfId="0" applyBorder="1" applyAlignment="1">
      <alignment horizontal="center"/>
    </xf>
    <xf numFmtId="178" fontId="0" fillId="0" borderId="19" xfId="0" applyBorder="1" applyAlignment="1">
      <alignment horizontal="center"/>
    </xf>
    <xf numFmtId="178" fontId="11" fillId="7" borderId="20" xfId="0" applyNumberFormat="1" applyFont="1" applyFill="1" applyBorder="1" applyAlignment="1">
      <alignment horizontal="center" vertical="center"/>
    </xf>
    <xf numFmtId="178" fontId="11" fillId="7" borderId="21" xfId="0" applyNumberFormat="1" applyFont="1" applyFill="1" applyBorder="1" applyAlignment="1">
      <alignment horizontal="center" vertical="center"/>
    </xf>
    <xf numFmtId="178" fontId="11" fillId="7" borderId="22" xfId="0" applyNumberFormat="1" applyFont="1" applyFill="1" applyBorder="1" applyAlignment="1">
      <alignment horizontal="center" vertical="center"/>
    </xf>
    <xf numFmtId="178" fontId="12" fillId="7" borderId="18" xfId="0" applyNumberFormat="1" applyFont="1" applyFill="1" applyBorder="1" applyAlignment="1">
      <alignment horizontal="left" vertical="center"/>
    </xf>
    <xf numFmtId="178" fontId="12" fillId="7" borderId="19" xfId="0" applyNumberFormat="1" applyFont="1" applyFill="1" applyBorder="1" applyAlignment="1">
      <alignment horizontal="left" vertical="center"/>
    </xf>
    <xf numFmtId="178" fontId="11" fillId="7" borderId="3" xfId="0" applyNumberFormat="1" applyFont="1" applyFill="1" applyBorder="1" applyAlignment="1" applyProtection="1">
      <alignment horizontal="center" vertical="center"/>
    </xf>
    <xf numFmtId="178" fontId="11" fillId="7" borderId="18" xfId="0" applyNumberFormat="1" applyFont="1" applyFill="1" applyBorder="1" applyAlignment="1" applyProtection="1">
      <alignment horizontal="center" vertical="center"/>
    </xf>
    <xf numFmtId="178" fontId="11" fillId="7" borderId="4" xfId="0" applyNumberFormat="1" applyFont="1" applyFill="1" applyBorder="1" applyAlignment="1" applyProtection="1">
      <alignment horizontal="center" vertical="center"/>
    </xf>
    <xf numFmtId="178" fontId="10" fillId="0" borderId="24" xfId="0" applyFont="1" applyFill="1" applyBorder="1" applyAlignment="1" applyProtection="1">
      <alignment horizontal="left" vertical="center"/>
    </xf>
    <xf numFmtId="178" fontId="10" fillId="0" borderId="7" xfId="0" applyFont="1" applyFill="1" applyBorder="1" applyAlignment="1" applyProtection="1">
      <alignment horizontal="left" vertical="center"/>
    </xf>
    <xf numFmtId="178" fontId="10" fillId="0" borderId="25" xfId="0" applyFont="1" applyFill="1" applyBorder="1" applyAlignment="1" applyProtection="1">
      <alignment horizontal="left" vertical="center"/>
    </xf>
    <xf numFmtId="178" fontId="10" fillId="0" borderId="27" xfId="0" applyFont="1" applyFill="1" applyBorder="1" applyAlignment="1" applyProtection="1">
      <alignment horizontal="left" vertical="center"/>
    </xf>
    <xf numFmtId="178" fontId="10" fillId="0" borderId="0" xfId="0" applyFont="1" applyFill="1" applyBorder="1" applyAlignment="1" applyProtection="1">
      <alignment horizontal="left" vertical="center"/>
    </xf>
    <xf numFmtId="178" fontId="10" fillId="0" borderId="14" xfId="0" applyFont="1" applyFill="1" applyBorder="1" applyAlignment="1" applyProtection="1">
      <alignment horizontal="left" vertical="center"/>
    </xf>
    <xf numFmtId="178" fontId="10" fillId="0" borderId="31" xfId="0" applyFont="1" applyFill="1" applyBorder="1" applyAlignment="1" applyProtection="1">
      <alignment horizontal="left" vertical="center"/>
    </xf>
    <xf numFmtId="178" fontId="10" fillId="0" borderId="29" xfId="0" applyFont="1" applyFill="1" applyBorder="1" applyAlignment="1" applyProtection="1">
      <alignment horizontal="left" vertical="center"/>
    </xf>
    <xf numFmtId="178" fontId="10" fillId="0" borderId="32" xfId="0" applyFont="1" applyFill="1" applyBorder="1" applyAlignment="1" applyProtection="1">
      <alignment horizontal="left" vertical="center"/>
    </xf>
    <xf numFmtId="178" fontId="10" fillId="0" borderId="19" xfId="0" applyFont="1" applyFill="1" applyBorder="1" applyAlignment="1" applyProtection="1">
      <alignment horizontal="left" vertical="center"/>
    </xf>
    <xf numFmtId="178" fontId="9" fillId="2" borderId="18" xfId="0" applyNumberFormat="1" applyFont="1" applyFill="1" applyBorder="1" applyAlignment="1">
      <alignment horizontal="center" vertical="center"/>
    </xf>
    <xf numFmtId="178" fontId="9" fillId="2" borderId="19" xfId="0" applyNumberFormat="1" applyFont="1" applyFill="1" applyBorder="1" applyAlignment="1">
      <alignment horizontal="center" vertical="center"/>
    </xf>
    <xf numFmtId="178" fontId="2" fillId="2" borderId="3" xfId="0" applyNumberFormat="1" applyFont="1" applyFill="1" applyBorder="1" applyAlignment="1">
      <alignment horizontal="center" vertical="center"/>
    </xf>
    <xf numFmtId="178" fontId="2" fillId="2" borderId="4" xfId="0" applyNumberFormat="1" applyFont="1" applyFill="1" applyBorder="1" applyAlignment="1">
      <alignment horizontal="center" vertical="center"/>
    </xf>
    <xf numFmtId="177" fontId="6" fillId="2" borderId="10" xfId="0" applyNumberFormat="1" applyFont="1" applyFill="1" applyBorder="1" applyAlignment="1">
      <alignment horizontal="center" vertical="center"/>
    </xf>
    <xf numFmtId="177" fontId="6" fillId="2" borderId="11" xfId="0" applyNumberFormat="1" applyFont="1" applyFill="1" applyBorder="1" applyAlignment="1">
      <alignment horizontal="center" vertical="center"/>
    </xf>
    <xf numFmtId="177" fontId="6" fillId="2" borderId="12" xfId="0" applyNumberFormat="1" applyFont="1" applyFill="1" applyBorder="1" applyAlignment="1">
      <alignment horizontal="center" vertical="center"/>
    </xf>
    <xf numFmtId="178" fontId="2" fillId="2" borderId="13" xfId="0" applyNumberFormat="1" applyFont="1" applyFill="1" applyBorder="1" applyAlignment="1">
      <alignment horizontal="center"/>
    </xf>
    <xf numFmtId="178" fontId="2" fillId="2" borderId="0" xfId="0" applyNumberFormat="1" applyFont="1" applyFill="1" applyBorder="1" applyAlignment="1">
      <alignment horizontal="center"/>
    </xf>
    <xf numFmtId="178" fontId="2" fillId="2" borderId="0" xfId="0" applyNumberFormat="1" applyFont="1" applyFill="1" applyBorder="1" applyAlignment="1">
      <alignment horizontal="left"/>
    </xf>
    <xf numFmtId="177" fontId="2" fillId="3" borderId="0" xfId="0" applyNumberFormat="1" applyFont="1" applyFill="1" applyBorder="1" applyAlignment="1">
      <alignment horizontal="center" vertical="center"/>
    </xf>
    <xf numFmtId="177" fontId="2" fillId="4" borderId="0" xfId="0" applyNumberFormat="1" applyFont="1" applyFill="1" applyBorder="1" applyAlignment="1">
      <alignment horizontal="center" vertical="center"/>
    </xf>
    <xf numFmtId="177" fontId="2" fillId="5" borderId="0" xfId="0" applyNumberFormat="1" applyFont="1" applyFill="1" applyBorder="1" applyAlignment="1">
      <alignment horizontal="center" vertical="center"/>
    </xf>
    <xf numFmtId="177" fontId="8" fillId="6" borderId="0" xfId="0" applyNumberFormat="1" applyFont="1" applyFill="1" applyBorder="1" applyAlignment="1">
      <alignment horizontal="center" vertical="center"/>
    </xf>
    <xf numFmtId="177" fontId="2" fillId="2" borderId="0" xfId="0" applyNumberFormat="1" applyFont="1" applyFill="1" applyBorder="1" applyAlignment="1">
      <alignment horizontal="right" wrapText="1"/>
    </xf>
    <xf numFmtId="178" fontId="2" fillId="2" borderId="14" xfId="0" applyNumberFormat="1" applyFont="1" applyFill="1" applyBorder="1" applyAlignment="1">
      <alignment horizontal="left"/>
    </xf>
    <xf numFmtId="0" fontId="2" fillId="3" borderId="0" xfId="0" applyNumberFormat="1" applyFont="1" applyFill="1" applyBorder="1" applyAlignment="1">
      <alignment horizontal="center" vertical="center"/>
    </xf>
    <xf numFmtId="0" fontId="2" fillId="4" borderId="0" xfId="0" applyNumberFormat="1" applyFont="1" applyFill="1" applyBorder="1" applyAlignment="1">
      <alignment horizontal="center" vertical="center"/>
    </xf>
    <xf numFmtId="0" fontId="2" fillId="5" borderId="0" xfId="0" applyNumberFormat="1" applyFont="1" applyFill="1" applyBorder="1" applyAlignment="1">
      <alignment horizontal="center" vertical="center"/>
    </xf>
    <xf numFmtId="0" fontId="8" fillId="6" borderId="0" xfId="0" applyNumberFormat="1" applyFont="1" applyFill="1" applyBorder="1" applyAlignment="1">
      <alignment horizontal="center" vertical="center"/>
    </xf>
    <xf numFmtId="178" fontId="13" fillId="0" borderId="37" xfId="0" applyFont="1" applyBorder="1" applyAlignment="1">
      <alignment horizontal="center" vertical="center" wrapText="1"/>
    </xf>
    <xf numFmtId="178" fontId="13" fillId="0" borderId="40" xfId="0" applyFont="1" applyBorder="1" applyAlignment="1">
      <alignment horizontal="center" vertical="center" wrapText="1"/>
    </xf>
    <xf numFmtId="178" fontId="13" fillId="0" borderId="35" xfId="0" applyFont="1" applyBorder="1" applyAlignment="1">
      <alignment horizontal="center" vertical="center"/>
    </xf>
    <xf numFmtId="178" fontId="13" fillId="0" borderId="38" xfId="0" applyFont="1" applyBorder="1" applyAlignment="1">
      <alignment horizontal="center" vertical="center"/>
    </xf>
    <xf numFmtId="178" fontId="13" fillId="0" borderId="43" xfId="0" applyFont="1" applyBorder="1" applyAlignment="1">
      <alignment horizontal="center" vertical="center" wrapText="1"/>
    </xf>
    <xf numFmtId="178" fontId="13" fillId="0" borderId="41" xfId="0" applyFont="1" applyBorder="1" applyAlignment="1">
      <alignment horizontal="center" vertical="center"/>
    </xf>
    <xf numFmtId="178" fontId="13" fillId="0" borderId="44" xfId="0" applyFont="1" applyBorder="1" applyAlignment="1">
      <alignment horizontal="center" vertical="center"/>
    </xf>
    <xf numFmtId="178" fontId="13" fillId="12" borderId="35" xfId="0" applyFont="1" applyFill="1" applyBorder="1" applyAlignment="1">
      <alignment horizontal="center" vertical="center"/>
    </xf>
    <xf numFmtId="178" fontId="13" fillId="12" borderId="36" xfId="0" applyFont="1" applyFill="1" applyBorder="1" applyAlignment="1">
      <alignment horizontal="center" vertical="center"/>
    </xf>
    <xf numFmtId="178" fontId="13" fillId="6" borderId="0" xfId="0" applyFont="1" applyFill="1" applyAlignment="1">
      <alignment horizontal="center" vertical="center"/>
    </xf>
    <xf numFmtId="178" fontId="13" fillId="12" borderId="37" xfId="0" applyFont="1" applyFill="1" applyBorder="1" applyAlignment="1">
      <alignment horizontal="center" vertical="center"/>
    </xf>
    <xf numFmtId="49" fontId="13" fillId="0" borderId="38" xfId="0" applyNumberFormat="1" applyFont="1" applyBorder="1" applyAlignment="1">
      <alignment horizontal="center" vertical="center"/>
    </xf>
    <xf numFmtId="49" fontId="13" fillId="6" borderId="38" xfId="0" applyNumberFormat="1" applyFont="1" applyFill="1" applyBorder="1" applyAlignment="1">
      <alignment horizontal="center" vertical="center" wrapText="1"/>
    </xf>
    <xf numFmtId="49" fontId="13" fillId="6" borderId="39" xfId="0" applyNumberFormat="1" applyFont="1" applyFill="1" applyBorder="1" applyAlignment="1">
      <alignment horizontal="center" vertical="center" wrapText="1"/>
    </xf>
    <xf numFmtId="49" fontId="13" fillId="6" borderId="41" xfId="0" applyNumberFormat="1" applyFont="1" applyFill="1" applyBorder="1" applyAlignment="1">
      <alignment horizontal="center" vertical="center" wrapText="1"/>
    </xf>
    <xf numFmtId="49" fontId="13" fillId="6" borderId="42" xfId="0" applyNumberFormat="1" applyFont="1" applyFill="1" applyBorder="1" applyAlignment="1">
      <alignment horizontal="center" vertical="center" wrapText="1"/>
    </xf>
  </cellXfs>
  <cellStyles count="1">
    <cellStyle name="常规" xfId="0" builtinId="0"/>
  </cellStyles>
  <dxfs count="160">
    <dxf>
      <font>
        <color theme="1"/>
      </font>
      <fill>
        <patternFill patternType="solid">
          <bgColor rgb="FFFFFF00"/>
        </patternFill>
      </fill>
    </dxf>
    <dxf>
      <font>
        <color theme="0"/>
      </font>
      <fill>
        <patternFill patternType="solid">
          <bgColor theme="0" tint="-0.499984740745262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b val="0"/>
        <i val="0"/>
        <color theme="0"/>
      </font>
      <fill>
        <patternFill patternType="solid">
          <bgColor rgb="FFC00000"/>
        </patternFill>
      </fill>
    </dxf>
    <dxf>
      <font>
        <color theme="0"/>
      </font>
      <fill>
        <patternFill patternType="solid">
          <bgColor theme="9" tint="-0.24994659260841701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0"/>
      </font>
      <fill>
        <patternFill patternType="solid">
          <bgColor theme="0" tint="-0.499984740745262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b val="0"/>
        <i val="0"/>
        <color theme="0"/>
      </font>
      <fill>
        <patternFill patternType="solid">
          <bgColor rgb="FFC00000"/>
        </patternFill>
      </fill>
    </dxf>
    <dxf>
      <font>
        <color theme="0"/>
      </font>
      <fill>
        <patternFill patternType="solid">
          <bgColor theme="9" tint="-0.24994659260841701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8" tint="0.39994506668294322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>
          <bgColor rgb="FFFFC000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0"/>
      </font>
      <fill>
        <patternFill patternType="solid">
          <bgColor theme="0" tint="-0.499984740745262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b val="0"/>
        <i val="0"/>
        <color theme="0"/>
      </font>
      <fill>
        <patternFill patternType="solid">
          <bgColor rgb="FFC00000"/>
        </patternFill>
      </fill>
    </dxf>
    <dxf>
      <font>
        <color theme="0"/>
      </font>
      <fill>
        <patternFill patternType="solid">
          <bgColor theme="9" tint="-0.24994659260841701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8" tint="0.39994506668294322"/>
        </patternFill>
      </fill>
    </dxf>
    <dxf>
      <font>
        <color theme="1"/>
      </font>
      <fill>
        <patternFill patternType="solid">
          <bgColor rgb="FFFFFF00"/>
        </patternFill>
      </fill>
    </dxf>
    <dxf>
      <font>
        <color theme="0"/>
      </font>
      <fill>
        <patternFill patternType="solid">
          <bgColor theme="0" tint="-0.499984740745262"/>
        </patternFill>
      </fill>
    </dxf>
    <dxf>
      <font>
        <color theme="0"/>
      </font>
      <fill>
        <patternFill patternType="solid">
          <bgColor theme="4" tint="-0.24994659260841701"/>
        </patternFill>
      </fill>
    </dxf>
    <dxf>
      <font>
        <b/>
        <i val="0"/>
        <color theme="0"/>
      </font>
      <fill>
        <patternFill patternType="solid">
          <bgColor rgb="FFC00000"/>
        </patternFill>
      </fill>
    </dxf>
    <dxf>
      <font>
        <color theme="0"/>
      </font>
      <fill>
        <patternFill patternType="solid">
          <bgColor theme="9" tint="-0.24994659260841701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17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 lang="zh-CN"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198120</xdr:colOff>
      <xdr:row>0</xdr:row>
      <xdr:rowOff>0</xdr:rowOff>
    </xdr:from>
    <xdr:to>
      <xdr:col>28</xdr:col>
      <xdr:colOff>0</xdr:colOff>
      <xdr:row>1</xdr:row>
      <xdr:rowOff>0</xdr:rowOff>
    </xdr:to>
    <xdr:graphicFrame macro="">
      <xdr:nvGraphicFramePr>
        <xdr:cNvPr id="2" name="图表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200025</xdr:colOff>
      <xdr:row>29</xdr:row>
      <xdr:rowOff>14479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000625" cy="52627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C171"/>
  <sheetViews>
    <sheetView tabSelected="1" zoomScale="90" zoomScaleNormal="90" workbookViewId="0">
      <pane ySplit="8" topLeftCell="A33" activePane="bottomLeft" state="frozen"/>
      <selection pane="bottomLeft" activeCell="N20" sqref="N20"/>
    </sheetView>
  </sheetViews>
  <sheetFormatPr defaultRowHeight="14.25"/>
  <cols>
    <col min="1" max="2" width="10.625" customWidth="1"/>
    <col min="3" max="3" width="16.625" customWidth="1"/>
    <col min="4" max="28" width="6.625" customWidth="1"/>
    <col min="29" max="29" width="9" style="19"/>
  </cols>
  <sheetData>
    <row r="1" spans="1:28" ht="69.95" customHeight="1">
      <c r="A1" s="97" t="s">
        <v>6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  <c r="X1" s="98"/>
      <c r="Y1" s="98"/>
      <c r="Z1" s="98"/>
      <c r="AA1" s="98"/>
      <c r="AB1" s="99"/>
    </row>
    <row r="2" spans="1:28" ht="12" customHeight="1">
      <c r="A2" s="7"/>
      <c r="B2" s="8"/>
      <c r="C2" s="9"/>
      <c r="D2" s="9"/>
      <c r="E2" s="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10"/>
    </row>
    <row r="3" spans="1:28" ht="26.1" customHeight="1">
      <c r="A3" s="100" t="s">
        <v>7</v>
      </c>
      <c r="B3" s="101"/>
      <c r="C3" s="102">
        <f ca="1">TODAY()</f>
        <v>46228</v>
      </c>
      <c r="D3" s="9"/>
      <c r="E3" s="9"/>
      <c r="F3" s="9"/>
      <c r="G3" s="9"/>
      <c r="H3" s="9"/>
      <c r="I3" s="103" t="s">
        <v>8</v>
      </c>
      <c r="J3" s="103"/>
      <c r="K3" s="9"/>
      <c r="L3" s="104" t="s">
        <v>9</v>
      </c>
      <c r="M3" s="104"/>
      <c r="N3" s="9"/>
      <c r="O3" s="105" t="s">
        <v>10</v>
      </c>
      <c r="P3" s="105"/>
      <c r="Q3" s="9"/>
      <c r="R3" s="106" t="s">
        <v>11</v>
      </c>
      <c r="S3" s="106"/>
      <c r="T3" s="9"/>
      <c r="U3" s="16"/>
      <c r="V3" s="9"/>
      <c r="W3" s="9"/>
      <c r="X3" s="107" t="s">
        <v>12</v>
      </c>
      <c r="Y3" s="107"/>
      <c r="Z3" s="107"/>
      <c r="AA3" s="102" t="s">
        <v>165</v>
      </c>
      <c r="AB3" s="108"/>
    </row>
    <row r="4" spans="1:28" ht="21.95" customHeight="1">
      <c r="A4" s="100"/>
      <c r="B4" s="101"/>
      <c r="C4" s="102"/>
      <c r="D4" s="8"/>
      <c r="E4" s="8"/>
      <c r="F4" s="8"/>
      <c r="G4" s="8"/>
      <c r="H4" s="8"/>
      <c r="I4" s="109">
        <f>CountRowsWithKeywords(D9:AB41, {"雷","飑","雹","漏斗云"})</f>
        <v>8</v>
      </c>
      <c r="J4" s="109"/>
      <c r="K4" s="42"/>
      <c r="L4" s="110">
        <f>CountRowsWithKeywords(D9:AB41, {"E","W","S","N"})</f>
        <v>4</v>
      </c>
      <c r="M4" s="110"/>
      <c r="N4" s="42"/>
      <c r="O4" s="111">
        <f>CountRowsWithKeywords(D9:AB41, {"雪","雨夹雪","冰粒","米雪","冰晶"})</f>
        <v>0</v>
      </c>
      <c r="P4" s="111"/>
      <c r="Q4" s="42"/>
      <c r="R4" s="112">
        <f>CountRowsWithKeywords(D9:AB41, {"50","00"})</f>
        <v>3</v>
      </c>
      <c r="S4" s="112"/>
      <c r="T4" s="8"/>
      <c r="U4" s="8"/>
      <c r="V4" s="8"/>
      <c r="W4" s="8"/>
      <c r="X4" s="107"/>
      <c r="Y4" s="107"/>
      <c r="Z4" s="107"/>
      <c r="AA4" s="102"/>
      <c r="AB4" s="108"/>
    </row>
    <row r="5" spans="1:28" ht="12" customHeight="1">
      <c r="A5" s="11"/>
      <c r="B5" s="12"/>
      <c r="C5" s="13"/>
      <c r="D5" s="14"/>
      <c r="E5" s="14"/>
      <c r="F5" s="14"/>
      <c r="G5" s="14"/>
      <c r="H5" s="14"/>
      <c r="I5" s="14"/>
      <c r="J5" s="14"/>
      <c r="K5" s="9"/>
      <c r="L5" s="14"/>
      <c r="M5" s="14"/>
      <c r="N5" s="9"/>
      <c r="O5" s="14"/>
      <c r="P5" s="14"/>
      <c r="Q5" s="9"/>
      <c r="R5" s="14"/>
      <c r="S5" s="14"/>
      <c r="T5" s="14"/>
      <c r="U5" s="14"/>
      <c r="V5" s="14"/>
      <c r="W5" s="14"/>
      <c r="X5" s="14"/>
      <c r="Y5" s="14"/>
      <c r="Z5" s="14"/>
      <c r="AA5" s="14"/>
      <c r="AB5" s="15"/>
    </row>
    <row r="6" spans="1:28" ht="32.1" customHeight="1">
      <c r="A6" s="95" t="s">
        <v>1</v>
      </c>
      <c r="B6" s="96"/>
      <c r="C6" s="1">
        <v>1.625</v>
      </c>
      <c r="D6" s="93"/>
      <c r="E6" s="93"/>
      <c r="F6" s="93"/>
      <c r="G6" s="93"/>
      <c r="H6" s="93"/>
      <c r="I6" s="93"/>
      <c r="J6" s="93"/>
      <c r="K6" s="93"/>
      <c r="L6" s="93"/>
      <c r="M6" s="93"/>
      <c r="N6" s="93"/>
      <c r="O6" s="93"/>
      <c r="P6" s="93"/>
      <c r="Q6" s="93"/>
      <c r="R6" s="93"/>
      <c r="S6" s="93"/>
      <c r="T6" s="93"/>
      <c r="U6" s="93"/>
      <c r="V6" s="93"/>
      <c r="W6" s="93"/>
      <c r="X6" s="93"/>
      <c r="Y6" s="93"/>
      <c r="Z6" s="93"/>
      <c r="AA6" s="93"/>
      <c r="AB6" s="94"/>
    </row>
    <row r="7" spans="1:28" ht="17.25">
      <c r="A7" s="59" t="s">
        <v>0</v>
      </c>
      <c r="B7" s="60"/>
      <c r="C7" s="4" t="s">
        <v>2</v>
      </c>
      <c r="D7" s="43">
        <v>0</v>
      </c>
      <c r="E7" s="43">
        <v>1</v>
      </c>
      <c r="F7" s="43">
        <v>2</v>
      </c>
      <c r="G7" s="43">
        <v>3</v>
      </c>
      <c r="H7" s="43">
        <v>4</v>
      </c>
      <c r="I7" s="43">
        <v>5</v>
      </c>
      <c r="J7" s="43">
        <v>6</v>
      </c>
      <c r="K7" s="43">
        <v>7</v>
      </c>
      <c r="L7" s="43">
        <v>8</v>
      </c>
      <c r="M7" s="43">
        <v>9</v>
      </c>
      <c r="N7" s="43">
        <v>10</v>
      </c>
      <c r="O7" s="43">
        <v>11</v>
      </c>
      <c r="P7" s="43">
        <v>12</v>
      </c>
      <c r="Q7" s="43">
        <v>13</v>
      </c>
      <c r="R7" s="43">
        <v>14</v>
      </c>
      <c r="S7" s="43">
        <v>15</v>
      </c>
      <c r="T7" s="43">
        <v>16</v>
      </c>
      <c r="U7" s="43">
        <v>17</v>
      </c>
      <c r="V7" s="43">
        <v>18</v>
      </c>
      <c r="W7" s="43">
        <v>19</v>
      </c>
      <c r="X7" s="43">
        <v>20</v>
      </c>
      <c r="Y7" s="43">
        <v>21</v>
      </c>
      <c r="Z7" s="43">
        <v>22</v>
      </c>
      <c r="AA7" s="43">
        <v>23</v>
      </c>
      <c r="AB7" s="44">
        <v>24</v>
      </c>
    </row>
    <row r="8" spans="1:28" ht="17.25">
      <c r="A8" s="5" t="s">
        <v>3</v>
      </c>
      <c r="B8" s="6" t="s">
        <v>4</v>
      </c>
      <c r="C8" s="4" t="s">
        <v>5</v>
      </c>
      <c r="D8" s="2">
        <f>C6</f>
        <v>1.625</v>
      </c>
      <c r="E8" s="2">
        <f t="shared" ref="E8:AB8" si="0">D8+TIME(1,0,0)</f>
        <v>1.6666666666666667</v>
      </c>
      <c r="F8" s="2">
        <f t="shared" si="0"/>
        <v>1.7083333333333335</v>
      </c>
      <c r="G8" s="2">
        <f t="shared" si="0"/>
        <v>1.7500000000000002</v>
      </c>
      <c r="H8" s="2">
        <f t="shared" si="0"/>
        <v>1.791666666666667</v>
      </c>
      <c r="I8" s="2">
        <f t="shared" si="0"/>
        <v>1.8333333333333337</v>
      </c>
      <c r="J8" s="2">
        <f t="shared" si="0"/>
        <v>1.8750000000000004</v>
      </c>
      <c r="K8" s="2">
        <f t="shared" si="0"/>
        <v>1.9166666666666672</v>
      </c>
      <c r="L8" s="2">
        <f t="shared" si="0"/>
        <v>1.9583333333333339</v>
      </c>
      <c r="M8" s="2">
        <f t="shared" si="0"/>
        <v>2.0000000000000004</v>
      </c>
      <c r="N8" s="2">
        <f t="shared" si="0"/>
        <v>2.041666666666667</v>
      </c>
      <c r="O8" s="2">
        <f t="shared" si="0"/>
        <v>2.0833333333333335</v>
      </c>
      <c r="P8" s="2">
        <f t="shared" si="0"/>
        <v>2.125</v>
      </c>
      <c r="Q8" s="2">
        <f t="shared" si="0"/>
        <v>2.1666666666666665</v>
      </c>
      <c r="R8" s="2">
        <f t="shared" si="0"/>
        <v>2.208333333333333</v>
      </c>
      <c r="S8" s="2">
        <f t="shared" si="0"/>
        <v>2.2499999999999996</v>
      </c>
      <c r="T8" s="2">
        <f t="shared" si="0"/>
        <v>2.2916666666666661</v>
      </c>
      <c r="U8" s="2">
        <f t="shared" si="0"/>
        <v>2.3333333333333326</v>
      </c>
      <c r="V8" s="2">
        <f t="shared" si="0"/>
        <v>2.3749999999999991</v>
      </c>
      <c r="W8" s="2">
        <f t="shared" si="0"/>
        <v>2.4166666666666656</v>
      </c>
      <c r="X8" s="2">
        <f t="shared" si="0"/>
        <v>2.4583333333333321</v>
      </c>
      <c r="Y8" s="2">
        <f t="shared" si="0"/>
        <v>2.4999999999999987</v>
      </c>
      <c r="Z8" s="2">
        <f t="shared" si="0"/>
        <v>2.5416666666666652</v>
      </c>
      <c r="AA8" s="2">
        <f t="shared" si="0"/>
        <v>2.5833333333333317</v>
      </c>
      <c r="AB8" s="3">
        <f t="shared" si="0"/>
        <v>2.6249999999999982</v>
      </c>
    </row>
    <row r="9" spans="1:28" ht="24.95" customHeight="1">
      <c r="A9" s="21" t="s">
        <v>140</v>
      </c>
      <c r="B9" s="20" t="s">
        <v>141</v>
      </c>
      <c r="C9" s="22" t="s">
        <v>158</v>
      </c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>
        <v>2000</v>
      </c>
      <c r="Q9" s="51">
        <v>2000</v>
      </c>
      <c r="R9" s="51">
        <v>2000</v>
      </c>
      <c r="S9" s="51">
        <v>2000</v>
      </c>
      <c r="T9" s="51"/>
      <c r="U9" s="51"/>
      <c r="V9" s="51"/>
      <c r="W9" s="51"/>
      <c r="X9" s="51"/>
      <c r="Y9" s="51"/>
      <c r="Z9" s="51"/>
      <c r="AA9" s="51"/>
      <c r="AB9" s="51"/>
    </row>
    <row r="10" spans="1:28" ht="24.95" customHeight="1">
      <c r="A10" s="53" t="s">
        <v>142</v>
      </c>
      <c r="B10" s="55" t="s">
        <v>141</v>
      </c>
      <c r="C10" s="22" t="s">
        <v>166</v>
      </c>
      <c r="D10" s="51"/>
      <c r="E10" s="51" t="s">
        <v>168</v>
      </c>
      <c r="F10" s="51" t="s">
        <v>168</v>
      </c>
      <c r="G10" s="51" t="s">
        <v>168</v>
      </c>
      <c r="H10" s="51"/>
      <c r="I10" s="51"/>
      <c r="J10" s="51"/>
      <c r="K10" s="51"/>
      <c r="L10" s="51"/>
      <c r="M10" s="51"/>
      <c r="N10" s="51" t="s">
        <v>172</v>
      </c>
      <c r="O10" s="51" t="s">
        <v>169</v>
      </c>
      <c r="P10" s="51" t="s">
        <v>169</v>
      </c>
      <c r="Q10" s="51" t="s">
        <v>169</v>
      </c>
      <c r="R10" s="51" t="s">
        <v>169</v>
      </c>
      <c r="S10" s="51" t="s">
        <v>169</v>
      </c>
      <c r="T10" s="51" t="s">
        <v>169</v>
      </c>
      <c r="U10" s="51" t="s">
        <v>169</v>
      </c>
      <c r="V10" s="51" t="s">
        <v>170</v>
      </c>
      <c r="W10" s="51" t="s">
        <v>170</v>
      </c>
      <c r="X10" s="51" t="s">
        <v>170</v>
      </c>
      <c r="Y10" s="51" t="s">
        <v>171</v>
      </c>
      <c r="Z10" s="51" t="s">
        <v>171</v>
      </c>
      <c r="AA10" s="51" t="s">
        <v>171</v>
      </c>
      <c r="AB10" s="51" t="s">
        <v>171</v>
      </c>
    </row>
    <row r="11" spans="1:28" ht="24.95" customHeight="1">
      <c r="A11" s="54"/>
      <c r="B11" s="56"/>
      <c r="C11" s="22" t="s">
        <v>167</v>
      </c>
      <c r="D11" s="51"/>
      <c r="E11" s="51"/>
      <c r="F11" s="51"/>
      <c r="G11" s="51"/>
      <c r="H11" s="51"/>
      <c r="I11" s="51"/>
      <c r="J11" s="51"/>
      <c r="K11" s="51"/>
      <c r="L11" s="51" t="s">
        <v>173</v>
      </c>
      <c r="M11" s="51" t="s">
        <v>173</v>
      </c>
      <c r="N11" s="51" t="s">
        <v>173</v>
      </c>
      <c r="O11" s="51" t="s">
        <v>175</v>
      </c>
      <c r="P11" s="51" t="s">
        <v>176</v>
      </c>
      <c r="Q11" s="51" t="s">
        <v>174</v>
      </c>
      <c r="R11" s="51" t="s">
        <v>179</v>
      </c>
      <c r="S11" s="51" t="s">
        <v>179</v>
      </c>
      <c r="T11" s="51" t="s">
        <v>179</v>
      </c>
      <c r="U11" s="51" t="s">
        <v>180</v>
      </c>
      <c r="V11" s="51" t="s">
        <v>180</v>
      </c>
      <c r="W11" s="51" t="s">
        <v>180</v>
      </c>
      <c r="X11" s="51" t="s">
        <v>181</v>
      </c>
      <c r="Y11" s="51" t="s">
        <v>181</v>
      </c>
      <c r="Z11" s="51" t="s">
        <v>181</v>
      </c>
      <c r="AA11" s="51" t="s">
        <v>182</v>
      </c>
      <c r="AB11" s="51" t="s">
        <v>183</v>
      </c>
    </row>
    <row r="12" spans="1:28" ht="24.95" customHeight="1">
      <c r="A12" s="21" t="s">
        <v>143</v>
      </c>
      <c r="B12" s="20" t="s">
        <v>141</v>
      </c>
      <c r="C12" s="22" t="s">
        <v>185</v>
      </c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  <c r="R12" s="51"/>
      <c r="S12" s="51"/>
      <c r="T12" s="51"/>
      <c r="U12" s="51"/>
      <c r="V12" s="51"/>
      <c r="W12" s="51" t="s">
        <v>172</v>
      </c>
      <c r="X12" s="51" t="s">
        <v>172</v>
      </c>
      <c r="Y12" s="51" t="s">
        <v>172</v>
      </c>
      <c r="Z12" s="51" t="s">
        <v>172</v>
      </c>
      <c r="AA12" s="51" t="s">
        <v>172</v>
      </c>
      <c r="AB12" s="51" t="s">
        <v>172</v>
      </c>
    </row>
    <row r="13" spans="1:28" ht="24.95" customHeight="1">
      <c r="A13" s="23" t="s">
        <v>144</v>
      </c>
      <c r="B13" s="24" t="s">
        <v>141</v>
      </c>
      <c r="C13" s="22" t="s">
        <v>160</v>
      </c>
      <c r="D13" s="51" t="s">
        <v>187</v>
      </c>
      <c r="E13" s="51" t="s">
        <v>187</v>
      </c>
      <c r="F13" s="51" t="s">
        <v>191</v>
      </c>
      <c r="G13" s="51" t="s">
        <v>192</v>
      </c>
      <c r="H13" s="51" t="s">
        <v>193</v>
      </c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 t="s">
        <v>194</v>
      </c>
      <c r="Y13" s="51" t="s">
        <v>195</v>
      </c>
      <c r="Z13" s="51" t="s">
        <v>186</v>
      </c>
      <c r="AA13" s="51" t="s">
        <v>188</v>
      </c>
      <c r="AB13" s="51" t="s">
        <v>196</v>
      </c>
    </row>
    <row r="14" spans="1:28" ht="24.95" customHeight="1">
      <c r="A14" s="23" t="s">
        <v>146</v>
      </c>
      <c r="B14" s="24" t="s">
        <v>145</v>
      </c>
      <c r="C14" s="22" t="s">
        <v>197</v>
      </c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  <c r="R14" s="51"/>
      <c r="S14" s="51"/>
      <c r="T14" s="51"/>
      <c r="U14" s="51"/>
      <c r="V14" s="51"/>
      <c r="W14" s="51"/>
      <c r="X14" s="51"/>
      <c r="Y14" s="51"/>
      <c r="Z14" s="51"/>
      <c r="AA14" s="51"/>
      <c r="AB14" s="51"/>
    </row>
    <row r="15" spans="1:28" ht="24.95" customHeight="1">
      <c r="A15" s="23" t="s">
        <v>153</v>
      </c>
      <c r="B15" s="24" t="s">
        <v>145</v>
      </c>
      <c r="C15" s="22" t="s">
        <v>160</v>
      </c>
      <c r="D15" s="51" t="s">
        <v>198</v>
      </c>
      <c r="E15" s="51" t="s">
        <v>200</v>
      </c>
      <c r="F15" s="51" t="s">
        <v>201</v>
      </c>
      <c r="G15" s="51" t="s">
        <v>199</v>
      </c>
      <c r="H15" s="51" t="s">
        <v>200</v>
      </c>
      <c r="I15" s="51" t="s">
        <v>202</v>
      </c>
      <c r="J15" s="51" t="s">
        <v>203</v>
      </c>
      <c r="K15" s="51" t="s">
        <v>204</v>
      </c>
      <c r="L15" s="51" t="s">
        <v>205</v>
      </c>
      <c r="M15" s="51" t="s">
        <v>206</v>
      </c>
      <c r="N15" s="51"/>
      <c r="O15" s="51"/>
      <c r="P15" s="51"/>
      <c r="Q15" s="51"/>
      <c r="R15" s="51"/>
      <c r="S15" s="51"/>
      <c r="T15" s="51"/>
      <c r="U15" s="51"/>
      <c r="V15" s="51"/>
      <c r="W15" s="51"/>
      <c r="X15" s="51"/>
      <c r="Y15" s="51"/>
      <c r="Z15" s="51" t="s">
        <v>207</v>
      </c>
      <c r="AA15" s="51" t="s">
        <v>208</v>
      </c>
      <c r="AB15" s="51" t="s">
        <v>209</v>
      </c>
    </row>
    <row r="16" spans="1:28" ht="24.95" customHeight="1">
      <c r="A16" s="23" t="s">
        <v>151</v>
      </c>
      <c r="B16" s="24" t="s">
        <v>145</v>
      </c>
      <c r="C16" s="22" t="s">
        <v>197</v>
      </c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  <c r="R16" s="51"/>
      <c r="S16" s="51"/>
      <c r="T16" s="51"/>
      <c r="U16" s="51"/>
      <c r="V16" s="51"/>
      <c r="W16" s="51"/>
      <c r="X16" s="51"/>
      <c r="Y16" s="51"/>
      <c r="Z16" s="51"/>
      <c r="AA16" s="51"/>
      <c r="AB16" s="51"/>
    </row>
    <row r="17" spans="1:28" ht="24.95" customHeight="1">
      <c r="A17" s="23" t="s">
        <v>152</v>
      </c>
      <c r="B17" s="24" t="s">
        <v>145</v>
      </c>
      <c r="C17" s="22" t="s">
        <v>210</v>
      </c>
      <c r="D17" s="51"/>
      <c r="E17" s="51"/>
      <c r="F17" s="51"/>
      <c r="G17" s="51"/>
      <c r="H17" s="51"/>
      <c r="I17" s="51"/>
      <c r="J17" s="51" t="s">
        <v>211</v>
      </c>
      <c r="K17" s="51" t="s">
        <v>211</v>
      </c>
      <c r="L17" s="51" t="s">
        <v>211</v>
      </c>
      <c r="M17" s="51" t="s">
        <v>211</v>
      </c>
      <c r="N17" s="51" t="s">
        <v>211</v>
      </c>
      <c r="O17" s="51" t="s">
        <v>211</v>
      </c>
      <c r="P17" s="51" t="s">
        <v>211</v>
      </c>
      <c r="Q17" s="51"/>
      <c r="R17" s="51"/>
      <c r="S17" s="51"/>
      <c r="T17" s="51"/>
      <c r="U17" s="51"/>
      <c r="V17" s="51"/>
      <c r="W17" s="51"/>
      <c r="X17" s="51"/>
      <c r="Y17" s="51"/>
      <c r="Z17" s="51"/>
      <c r="AA17" s="51"/>
      <c r="AB17" s="51"/>
    </row>
    <row r="18" spans="1:28" ht="24.95" customHeight="1">
      <c r="A18" s="23" t="s">
        <v>154</v>
      </c>
      <c r="B18" s="24" t="s">
        <v>157</v>
      </c>
      <c r="C18" s="22" t="s">
        <v>212</v>
      </c>
      <c r="D18" s="51"/>
      <c r="E18" s="51"/>
      <c r="F18" s="51"/>
      <c r="G18" s="51"/>
      <c r="H18" s="51"/>
      <c r="I18" s="51"/>
      <c r="J18" s="51">
        <v>90</v>
      </c>
      <c r="K18" s="51">
        <v>90</v>
      </c>
      <c r="L18" s="51">
        <v>90</v>
      </c>
      <c r="M18" s="51">
        <v>90</v>
      </c>
      <c r="N18" s="51">
        <v>90</v>
      </c>
      <c r="O18" s="51">
        <v>90</v>
      </c>
      <c r="P18" s="51">
        <v>90</v>
      </c>
      <c r="Q18" s="51">
        <v>90</v>
      </c>
      <c r="R18" s="51">
        <v>90</v>
      </c>
      <c r="S18" s="51">
        <v>90</v>
      </c>
      <c r="T18" s="51">
        <v>90</v>
      </c>
      <c r="U18" s="51"/>
      <c r="V18" s="51"/>
      <c r="W18" s="51"/>
      <c r="X18" s="51"/>
      <c r="Y18" s="51"/>
      <c r="Z18" s="51"/>
      <c r="AA18" s="51"/>
      <c r="AB18" s="51"/>
    </row>
    <row r="19" spans="1:28" ht="24.95" customHeight="1">
      <c r="A19" s="23" t="s">
        <v>155</v>
      </c>
      <c r="B19" s="24" t="s">
        <v>157</v>
      </c>
      <c r="C19" s="22" t="s">
        <v>158</v>
      </c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</row>
    <row r="20" spans="1:28" ht="24.95" customHeight="1">
      <c r="A20" s="23" t="s">
        <v>156</v>
      </c>
      <c r="B20" s="24" t="s">
        <v>157</v>
      </c>
      <c r="C20" s="22" t="s">
        <v>159</v>
      </c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  <c r="R20" s="51"/>
      <c r="S20" s="51"/>
      <c r="T20" s="51"/>
      <c r="U20" s="51"/>
      <c r="V20" s="51"/>
      <c r="W20" s="51"/>
      <c r="X20" s="51"/>
      <c r="Y20" s="51"/>
      <c r="Z20" s="51"/>
      <c r="AA20" s="51"/>
      <c r="AB20" s="51"/>
    </row>
    <row r="21" spans="1:28" ht="24.95" customHeight="1">
      <c r="A21" s="23" t="s">
        <v>184</v>
      </c>
      <c r="B21" s="25"/>
      <c r="C21" s="22" t="s">
        <v>213</v>
      </c>
      <c r="D21" s="51" t="s">
        <v>214</v>
      </c>
      <c r="E21" s="51" t="s">
        <v>214</v>
      </c>
      <c r="F21" s="51" t="s">
        <v>214</v>
      </c>
      <c r="G21" s="51" t="s">
        <v>214</v>
      </c>
      <c r="H21" s="51" t="s">
        <v>214</v>
      </c>
      <c r="I21" s="51" t="s">
        <v>214</v>
      </c>
      <c r="J21" s="51" t="s">
        <v>214</v>
      </c>
      <c r="K21" s="51" t="s">
        <v>214</v>
      </c>
      <c r="L21" s="51" t="s">
        <v>214</v>
      </c>
      <c r="M21" s="51" t="s">
        <v>214</v>
      </c>
      <c r="N21" s="51" t="s">
        <v>214</v>
      </c>
      <c r="O21" s="51" t="s">
        <v>214</v>
      </c>
      <c r="P21" s="51" t="s">
        <v>214</v>
      </c>
      <c r="Q21" s="51" t="s">
        <v>214</v>
      </c>
      <c r="R21" s="51" t="s">
        <v>214</v>
      </c>
      <c r="S21" s="51" t="s">
        <v>214</v>
      </c>
      <c r="T21" s="51" t="s">
        <v>214</v>
      </c>
      <c r="U21" s="51" t="s">
        <v>214</v>
      </c>
      <c r="V21" s="51" t="s">
        <v>214</v>
      </c>
      <c r="W21" s="51" t="s">
        <v>214</v>
      </c>
      <c r="X21" s="51" t="s">
        <v>214</v>
      </c>
      <c r="Y21" s="51" t="s">
        <v>214</v>
      </c>
      <c r="Z21" s="51" t="s">
        <v>214</v>
      </c>
      <c r="AA21" s="51" t="s">
        <v>214</v>
      </c>
      <c r="AB21" s="51" t="s">
        <v>214</v>
      </c>
    </row>
    <row r="22" spans="1:28" ht="24.95" customHeight="1">
      <c r="A22" s="23" t="s">
        <v>215</v>
      </c>
      <c r="B22" s="25"/>
      <c r="C22" s="22" t="s">
        <v>216</v>
      </c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>
        <v>1500</v>
      </c>
      <c r="R22" s="51">
        <v>1500</v>
      </c>
      <c r="S22" s="51">
        <v>1500</v>
      </c>
      <c r="T22" s="51">
        <v>1500</v>
      </c>
      <c r="U22" s="51"/>
      <c r="V22" s="51"/>
      <c r="W22" s="51"/>
      <c r="X22" s="51"/>
      <c r="Y22" s="51"/>
      <c r="Z22" s="51"/>
      <c r="AA22" s="51"/>
      <c r="AB22" s="51"/>
    </row>
    <row r="23" spans="1:28" ht="24.95" customHeight="1">
      <c r="A23" s="23" t="s">
        <v>217</v>
      </c>
      <c r="B23" s="25"/>
      <c r="C23" s="22" t="s">
        <v>161</v>
      </c>
      <c r="D23" s="51" t="s">
        <v>250</v>
      </c>
      <c r="E23" s="51" t="s">
        <v>250</v>
      </c>
      <c r="F23" s="51" t="s">
        <v>250</v>
      </c>
      <c r="G23" s="51" t="s">
        <v>250</v>
      </c>
      <c r="H23" s="51"/>
      <c r="I23" s="51"/>
      <c r="J23" s="51"/>
      <c r="K23" s="51"/>
      <c r="L23" s="51"/>
      <c r="M23" s="51"/>
      <c r="N23" s="51"/>
      <c r="O23" s="51"/>
      <c r="P23" s="51"/>
      <c r="Q23" s="51" t="s">
        <v>218</v>
      </c>
      <c r="R23" s="51" t="s">
        <v>218</v>
      </c>
      <c r="S23" s="51" t="s">
        <v>218</v>
      </c>
      <c r="T23" s="51"/>
      <c r="U23" s="51"/>
      <c r="V23" s="51"/>
      <c r="W23" s="51"/>
      <c r="X23" s="51"/>
      <c r="Y23" s="51"/>
      <c r="Z23" s="51"/>
      <c r="AA23" s="51"/>
      <c r="AB23" s="51"/>
    </row>
    <row r="24" spans="1:28" ht="24.95" customHeight="1">
      <c r="A24" s="23" t="s">
        <v>219</v>
      </c>
      <c r="B24" s="25"/>
      <c r="C24" s="22" t="s">
        <v>161</v>
      </c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 t="s">
        <v>218</v>
      </c>
      <c r="R24" s="51" t="s">
        <v>218</v>
      </c>
      <c r="S24" s="51" t="s">
        <v>218</v>
      </c>
      <c r="T24" s="51"/>
      <c r="U24" s="51"/>
      <c r="V24" s="51"/>
      <c r="W24" s="51"/>
      <c r="X24" s="51"/>
      <c r="Y24" s="51"/>
      <c r="Z24" s="51"/>
      <c r="AA24" s="51"/>
      <c r="AB24" s="51"/>
    </row>
    <row r="25" spans="1:28" ht="24.95" customHeight="1">
      <c r="A25" s="23" t="s">
        <v>285</v>
      </c>
      <c r="B25" s="25"/>
      <c r="C25" s="22" t="s">
        <v>287</v>
      </c>
      <c r="D25" s="51" t="s">
        <v>288</v>
      </c>
      <c r="E25" s="51" t="s">
        <v>288</v>
      </c>
      <c r="F25" s="51" t="s">
        <v>288</v>
      </c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  <c r="R25" s="51"/>
      <c r="S25" s="51"/>
      <c r="T25" s="51"/>
      <c r="U25" s="51"/>
      <c r="V25" s="51"/>
      <c r="W25" s="51"/>
      <c r="X25" s="51"/>
      <c r="Y25" s="51"/>
      <c r="Z25" s="51"/>
      <c r="AA25" s="51" t="s">
        <v>288</v>
      </c>
      <c r="AB25" s="51" t="s">
        <v>288</v>
      </c>
    </row>
    <row r="26" spans="1:28" ht="24.95" customHeight="1">
      <c r="A26" s="23" t="s">
        <v>286</v>
      </c>
      <c r="B26" s="25"/>
      <c r="C26" s="22" t="s">
        <v>287</v>
      </c>
      <c r="D26" s="51" t="s">
        <v>288</v>
      </c>
      <c r="E26" s="51" t="s">
        <v>288</v>
      </c>
      <c r="F26" s="51" t="s">
        <v>288</v>
      </c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  <c r="R26" s="51"/>
      <c r="S26" s="51"/>
      <c r="T26" s="51"/>
      <c r="U26" s="51"/>
      <c r="V26" s="51"/>
      <c r="W26" s="51"/>
      <c r="X26" s="51"/>
      <c r="Y26" s="51"/>
      <c r="Z26" s="51"/>
      <c r="AA26" s="51"/>
      <c r="AB26" s="51"/>
    </row>
    <row r="27" spans="1:28" ht="24.95" customHeight="1">
      <c r="A27" s="23" t="s">
        <v>220</v>
      </c>
      <c r="B27" s="25"/>
      <c r="C27" s="22" t="s">
        <v>162</v>
      </c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 t="s">
        <v>172</v>
      </c>
      <c r="Q27" s="51" t="s">
        <v>172</v>
      </c>
      <c r="R27" s="51" t="s">
        <v>172</v>
      </c>
      <c r="S27" s="51" t="s">
        <v>221</v>
      </c>
      <c r="T27" s="51" t="s">
        <v>222</v>
      </c>
      <c r="U27" s="51" t="s">
        <v>171</v>
      </c>
      <c r="V27" s="51" t="s">
        <v>223</v>
      </c>
      <c r="W27" s="51" t="s">
        <v>224</v>
      </c>
      <c r="X27" s="51" t="s">
        <v>222</v>
      </c>
      <c r="Y27" s="51" t="s">
        <v>222</v>
      </c>
      <c r="Z27" s="51" t="s">
        <v>222</v>
      </c>
      <c r="AA27" s="51" t="s">
        <v>222</v>
      </c>
      <c r="AB27" s="51" t="s">
        <v>225</v>
      </c>
    </row>
    <row r="28" spans="1:28" ht="24.95" customHeight="1">
      <c r="A28" s="23" t="s">
        <v>226</v>
      </c>
      <c r="B28" s="25"/>
      <c r="C28" s="22" t="s">
        <v>162</v>
      </c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  <c r="R28" s="51"/>
      <c r="S28" s="51" t="s">
        <v>227</v>
      </c>
      <c r="T28" s="51" t="s">
        <v>228</v>
      </c>
      <c r="U28" s="51" t="s">
        <v>228</v>
      </c>
      <c r="V28" s="51" t="s">
        <v>228</v>
      </c>
      <c r="W28" s="51" t="s">
        <v>222</v>
      </c>
      <c r="X28" s="51" t="s">
        <v>222</v>
      </c>
      <c r="Y28" s="51" t="s">
        <v>229</v>
      </c>
      <c r="Z28" s="51" t="s">
        <v>172</v>
      </c>
      <c r="AA28" s="51" t="s">
        <v>172</v>
      </c>
      <c r="AB28" s="51" t="s">
        <v>230</v>
      </c>
    </row>
    <row r="29" spans="1:28" ht="24.95" customHeight="1">
      <c r="A29" s="57" t="s">
        <v>234</v>
      </c>
      <c r="B29" s="25"/>
      <c r="C29" s="22" t="s">
        <v>233</v>
      </c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  <c r="R29" s="51"/>
      <c r="S29" s="51" t="s">
        <v>172</v>
      </c>
      <c r="T29" s="51" t="s">
        <v>232</v>
      </c>
      <c r="U29" s="51" t="s">
        <v>232</v>
      </c>
      <c r="V29" s="51" t="s">
        <v>172</v>
      </c>
      <c r="W29" s="51" t="s">
        <v>172</v>
      </c>
      <c r="X29" s="51" t="s">
        <v>172</v>
      </c>
      <c r="Y29" s="51" t="s">
        <v>225</v>
      </c>
      <c r="Z29" s="51" t="s">
        <v>170</v>
      </c>
      <c r="AA29" s="51" t="s">
        <v>170</v>
      </c>
      <c r="AB29" s="51" t="s">
        <v>170</v>
      </c>
    </row>
    <row r="30" spans="1:28" ht="24.95" customHeight="1">
      <c r="A30" s="58"/>
      <c r="B30" s="25"/>
      <c r="C30" s="22" t="s">
        <v>235</v>
      </c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  <c r="R30" s="51"/>
      <c r="S30" s="51"/>
      <c r="T30" s="51"/>
      <c r="U30" s="51" t="s">
        <v>236</v>
      </c>
      <c r="V30" s="51" t="s">
        <v>236</v>
      </c>
      <c r="W30" s="51" t="s">
        <v>236</v>
      </c>
      <c r="X30" s="51" t="s">
        <v>237</v>
      </c>
      <c r="Y30" s="51" t="s">
        <v>177</v>
      </c>
      <c r="Z30" s="51" t="s">
        <v>238</v>
      </c>
      <c r="AA30" s="51" t="s">
        <v>239</v>
      </c>
      <c r="AB30" s="51" t="s">
        <v>178</v>
      </c>
    </row>
    <row r="31" spans="1:28" ht="24.95" customHeight="1">
      <c r="A31" s="57" t="s">
        <v>240</v>
      </c>
      <c r="B31" s="25"/>
      <c r="C31" s="22" t="s">
        <v>231</v>
      </c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 t="s">
        <v>172</v>
      </c>
      <c r="R31" s="51" t="s">
        <v>172</v>
      </c>
      <c r="S31" s="51" t="s">
        <v>172</v>
      </c>
      <c r="T31" s="51" t="s">
        <v>172</v>
      </c>
      <c r="U31" s="51" t="s">
        <v>172</v>
      </c>
      <c r="V31" s="51" t="s">
        <v>225</v>
      </c>
      <c r="W31" s="51" t="s">
        <v>225</v>
      </c>
      <c r="X31" s="51" t="s">
        <v>225</v>
      </c>
      <c r="Y31" s="51" t="s">
        <v>241</v>
      </c>
      <c r="Z31" s="51" t="s">
        <v>241</v>
      </c>
      <c r="AA31" s="51" t="s">
        <v>224</v>
      </c>
      <c r="AB31" s="51" t="s">
        <v>224</v>
      </c>
    </row>
    <row r="32" spans="1:28" ht="24.95" customHeight="1">
      <c r="A32" s="58"/>
      <c r="B32" s="25"/>
      <c r="C32" s="22" t="s">
        <v>235</v>
      </c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  <c r="R32" s="51"/>
      <c r="S32" s="51"/>
      <c r="T32" s="51"/>
      <c r="U32" s="51" t="s">
        <v>242</v>
      </c>
      <c r="V32" s="51" t="s">
        <v>243</v>
      </c>
      <c r="W32" s="51" t="s">
        <v>244</v>
      </c>
      <c r="X32" s="51" t="s">
        <v>245</v>
      </c>
      <c r="Y32" s="51" t="s">
        <v>246</v>
      </c>
      <c r="Z32" s="51" t="s">
        <v>247</v>
      </c>
      <c r="AA32" s="51" t="s">
        <v>248</v>
      </c>
      <c r="AB32" s="51" t="s">
        <v>249</v>
      </c>
    </row>
    <row r="33" spans="1:28" ht="24.95" customHeight="1">
      <c r="A33" s="23" t="s">
        <v>251</v>
      </c>
      <c r="B33" s="25"/>
      <c r="C33" s="22" t="s">
        <v>163</v>
      </c>
      <c r="D33" s="51" t="s">
        <v>252</v>
      </c>
      <c r="E33" s="51" t="s">
        <v>190</v>
      </c>
      <c r="F33" s="51" t="s">
        <v>253</v>
      </c>
      <c r="G33" s="51" t="s">
        <v>254</v>
      </c>
      <c r="H33" s="51" t="s">
        <v>255</v>
      </c>
      <c r="I33" s="51" t="s">
        <v>195</v>
      </c>
      <c r="J33" s="51" t="s">
        <v>206</v>
      </c>
      <c r="K33" s="51"/>
      <c r="L33" s="51"/>
      <c r="M33" s="51"/>
      <c r="N33" s="51"/>
      <c r="O33" s="51"/>
      <c r="P33" s="51"/>
      <c r="Q33" s="51"/>
      <c r="R33" s="51"/>
      <c r="S33" s="51"/>
      <c r="T33" s="51"/>
      <c r="U33" s="51"/>
      <c r="V33" s="51"/>
      <c r="W33" s="51"/>
      <c r="X33" s="51" t="s">
        <v>192</v>
      </c>
      <c r="Y33" s="51" t="s">
        <v>256</v>
      </c>
      <c r="Z33" s="51" t="s">
        <v>186</v>
      </c>
      <c r="AA33" s="51" t="s">
        <v>188</v>
      </c>
      <c r="AB33" s="51" t="s">
        <v>189</v>
      </c>
    </row>
    <row r="34" spans="1:28" ht="24.95" customHeight="1">
      <c r="A34" s="23" t="s">
        <v>257</v>
      </c>
      <c r="B34" s="25"/>
      <c r="C34" s="22" t="s">
        <v>163</v>
      </c>
      <c r="D34" s="51" t="s">
        <v>258</v>
      </c>
      <c r="E34" s="51" t="s">
        <v>258</v>
      </c>
      <c r="F34" s="51" t="s">
        <v>258</v>
      </c>
      <c r="G34" s="51" t="s">
        <v>259</v>
      </c>
      <c r="H34" s="51" t="s">
        <v>195</v>
      </c>
      <c r="I34" s="51" t="s">
        <v>260</v>
      </c>
      <c r="J34" s="51" t="s">
        <v>194</v>
      </c>
      <c r="K34" s="51"/>
      <c r="L34" s="51"/>
      <c r="M34" s="51"/>
      <c r="N34" s="51"/>
      <c r="O34" s="51"/>
      <c r="P34" s="51"/>
      <c r="Q34" s="51"/>
      <c r="R34" s="51"/>
      <c r="S34" s="51"/>
      <c r="T34" s="51"/>
      <c r="U34" s="51"/>
      <c r="V34" s="51"/>
      <c r="W34" s="51"/>
      <c r="X34" s="51" t="s">
        <v>192</v>
      </c>
      <c r="Y34" s="51" t="s">
        <v>261</v>
      </c>
      <c r="Z34" s="51" t="s">
        <v>204</v>
      </c>
      <c r="AA34" s="51" t="s">
        <v>188</v>
      </c>
      <c r="AB34" s="51" t="s">
        <v>189</v>
      </c>
    </row>
    <row r="35" spans="1:28" ht="24.95" customHeight="1">
      <c r="A35" s="57" t="s">
        <v>268</v>
      </c>
      <c r="B35" s="25"/>
      <c r="C35" s="22" t="s">
        <v>233</v>
      </c>
      <c r="D35" s="51"/>
      <c r="E35" s="51"/>
      <c r="F35" s="51"/>
      <c r="G35" s="51"/>
      <c r="H35" s="51"/>
      <c r="I35" s="51"/>
      <c r="J35" s="51"/>
      <c r="K35" s="51"/>
      <c r="L35" s="51"/>
      <c r="M35" s="51" t="s">
        <v>269</v>
      </c>
      <c r="N35" s="51" t="s">
        <v>270</v>
      </c>
      <c r="O35" s="51" t="s">
        <v>270</v>
      </c>
      <c r="P35" s="51" t="s">
        <v>271</v>
      </c>
      <c r="Q35" s="51" t="s">
        <v>271</v>
      </c>
      <c r="R35" s="51" t="s">
        <v>272</v>
      </c>
      <c r="S35" s="51" t="s">
        <v>272</v>
      </c>
      <c r="T35" s="51" t="s">
        <v>273</v>
      </c>
      <c r="U35" s="51" t="s">
        <v>273</v>
      </c>
      <c r="V35" s="51" t="s">
        <v>273</v>
      </c>
      <c r="W35" s="51" t="s">
        <v>274</v>
      </c>
      <c r="X35" s="51" t="s">
        <v>271</v>
      </c>
      <c r="Y35" s="51" t="s">
        <v>271</v>
      </c>
      <c r="Z35" s="51" t="s">
        <v>275</v>
      </c>
      <c r="AA35" s="51" t="s">
        <v>271</v>
      </c>
      <c r="AB35" s="51" t="s">
        <v>271</v>
      </c>
    </row>
    <row r="36" spans="1:28" ht="24.95" customHeight="1">
      <c r="A36" s="58"/>
      <c r="B36" s="25"/>
      <c r="C36" s="22" t="s">
        <v>276</v>
      </c>
      <c r="D36" s="51"/>
      <c r="E36" s="51"/>
      <c r="F36" s="51"/>
      <c r="G36" s="51"/>
      <c r="H36" s="51"/>
      <c r="I36" s="51"/>
      <c r="J36" s="51"/>
      <c r="K36" s="51"/>
      <c r="L36" s="51"/>
      <c r="M36" s="51"/>
      <c r="N36" s="51"/>
      <c r="O36" s="51" t="s">
        <v>277</v>
      </c>
      <c r="P36" s="51" t="s">
        <v>277</v>
      </c>
      <c r="Q36" s="51" t="s">
        <v>277</v>
      </c>
      <c r="R36" s="51" t="s">
        <v>278</v>
      </c>
      <c r="S36" s="51" t="s">
        <v>279</v>
      </c>
      <c r="T36" s="51" t="s">
        <v>280</v>
      </c>
      <c r="U36" s="51" t="s">
        <v>281</v>
      </c>
      <c r="V36" s="51" t="s">
        <v>282</v>
      </c>
      <c r="W36" s="51" t="s">
        <v>283</v>
      </c>
      <c r="X36" s="51" t="s">
        <v>283</v>
      </c>
      <c r="Y36" s="51" t="s">
        <v>283</v>
      </c>
      <c r="Z36" s="51" t="s">
        <v>283</v>
      </c>
      <c r="AA36" s="51" t="s">
        <v>284</v>
      </c>
      <c r="AB36" s="51" t="s">
        <v>284</v>
      </c>
    </row>
    <row r="37" spans="1:28" ht="24.95" customHeight="1">
      <c r="A37" s="23" t="s">
        <v>262</v>
      </c>
      <c r="B37" s="25"/>
      <c r="C37" s="22" t="s">
        <v>263</v>
      </c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51"/>
      <c r="Q37" s="51" t="s">
        <v>264</v>
      </c>
      <c r="R37" s="51" t="s">
        <v>264</v>
      </c>
      <c r="S37" s="51" t="s">
        <v>264</v>
      </c>
      <c r="T37" s="51"/>
      <c r="U37" s="51"/>
      <c r="V37" s="51"/>
      <c r="W37" s="51"/>
      <c r="X37" s="51"/>
      <c r="Y37" s="51"/>
      <c r="Z37" s="51"/>
      <c r="AA37" s="51"/>
      <c r="AB37" s="51"/>
    </row>
    <row r="38" spans="1:28" ht="24.95" customHeight="1">
      <c r="A38" s="23" t="s">
        <v>289</v>
      </c>
      <c r="B38" s="25"/>
      <c r="C38" s="22" t="s">
        <v>166</v>
      </c>
      <c r="D38" s="51" t="s">
        <v>290</v>
      </c>
      <c r="E38" s="51" t="s">
        <v>290</v>
      </c>
      <c r="F38" s="51" t="s">
        <v>290</v>
      </c>
      <c r="G38" s="51"/>
      <c r="H38" s="51"/>
      <c r="I38" s="51"/>
      <c r="J38" s="51"/>
      <c r="K38" s="51"/>
      <c r="L38" s="51"/>
      <c r="M38" s="51"/>
      <c r="N38" s="51"/>
      <c r="O38" s="51"/>
      <c r="P38" s="51"/>
      <c r="Q38" s="51"/>
      <c r="R38" s="51"/>
      <c r="S38" s="51"/>
      <c r="T38" s="51"/>
      <c r="U38" s="51"/>
      <c r="V38" s="51"/>
      <c r="W38" s="51"/>
      <c r="X38" s="51"/>
      <c r="Y38" s="51"/>
      <c r="Z38" s="51"/>
      <c r="AA38" s="51"/>
      <c r="AB38" s="51"/>
    </row>
    <row r="39" spans="1:28" ht="24.95" customHeight="1">
      <c r="A39" s="23" t="s">
        <v>265</v>
      </c>
      <c r="B39" s="25"/>
      <c r="C39" s="22" t="s">
        <v>263</v>
      </c>
      <c r="D39" s="51"/>
      <c r="E39" s="51"/>
      <c r="F39" s="51" t="s">
        <v>264</v>
      </c>
      <c r="G39" s="51" t="s">
        <v>264</v>
      </c>
      <c r="H39" s="51" t="s">
        <v>264</v>
      </c>
      <c r="I39" s="51" t="s">
        <v>168</v>
      </c>
      <c r="J39" s="51" t="s">
        <v>168</v>
      </c>
      <c r="K39" s="51" t="s">
        <v>264</v>
      </c>
      <c r="L39" s="51"/>
      <c r="M39" s="51"/>
      <c r="N39" s="51"/>
      <c r="O39" s="51"/>
      <c r="P39" s="51"/>
      <c r="Q39" s="51"/>
      <c r="R39" s="51"/>
      <c r="S39" s="51"/>
      <c r="T39" s="51"/>
      <c r="U39" s="51"/>
      <c r="V39" s="51"/>
      <c r="W39" s="51"/>
      <c r="X39" s="51"/>
      <c r="Y39" s="51"/>
      <c r="Z39" s="51"/>
      <c r="AA39" s="51"/>
      <c r="AB39" s="51"/>
    </row>
    <row r="40" spans="1:28" ht="24.95" customHeight="1">
      <c r="A40" s="23" t="s">
        <v>266</v>
      </c>
      <c r="B40" s="25"/>
      <c r="C40" s="22" t="s">
        <v>263</v>
      </c>
      <c r="D40" s="51"/>
      <c r="E40" s="51"/>
      <c r="F40" s="51"/>
      <c r="G40" s="51"/>
      <c r="H40" s="51"/>
      <c r="I40" s="51"/>
      <c r="J40" s="51"/>
      <c r="K40" s="51"/>
      <c r="L40" s="51"/>
      <c r="M40" s="51"/>
      <c r="N40" s="51"/>
      <c r="O40" s="51"/>
      <c r="P40" s="51"/>
      <c r="Q40" s="51"/>
      <c r="R40" s="51"/>
      <c r="S40" s="51" t="s">
        <v>172</v>
      </c>
      <c r="T40" s="51" t="s">
        <v>171</v>
      </c>
      <c r="U40" s="51" t="s">
        <v>171</v>
      </c>
      <c r="V40" s="51" t="s">
        <v>267</v>
      </c>
      <c r="W40" s="51" t="s">
        <v>267</v>
      </c>
      <c r="X40" s="51" t="s">
        <v>211</v>
      </c>
      <c r="Y40" s="51" t="s">
        <v>171</v>
      </c>
      <c r="Z40" s="51"/>
      <c r="AA40" s="51"/>
      <c r="AB40" s="51"/>
    </row>
    <row r="41" spans="1:28" ht="24.95" customHeight="1">
      <c r="A41" s="72"/>
      <c r="B41" s="73"/>
      <c r="C41" s="73"/>
      <c r="D41" s="73"/>
      <c r="E41" s="73"/>
      <c r="F41" s="73"/>
      <c r="G41" s="73"/>
      <c r="H41" s="73"/>
      <c r="I41" s="73"/>
      <c r="J41" s="73"/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3"/>
      <c r="V41" s="73"/>
      <c r="W41" s="73"/>
      <c r="X41" s="73"/>
      <c r="Y41" s="73"/>
      <c r="Z41" s="73"/>
      <c r="AA41" s="73"/>
      <c r="AB41" s="74"/>
    </row>
    <row r="42" spans="1:28" ht="24.95" customHeight="1">
      <c r="A42" s="75" t="s">
        <v>13</v>
      </c>
      <c r="B42" s="76"/>
      <c r="C42" s="77"/>
      <c r="D42" s="78" t="s">
        <v>164</v>
      </c>
      <c r="E42" s="78"/>
      <c r="F42" s="78"/>
      <c r="G42" s="78"/>
      <c r="H42" s="78"/>
      <c r="I42" s="78"/>
      <c r="J42" s="78"/>
      <c r="K42" s="78"/>
      <c r="L42" s="78"/>
      <c r="M42" s="78"/>
      <c r="N42" s="78"/>
      <c r="O42" s="78"/>
      <c r="P42" s="78"/>
      <c r="Q42" s="78"/>
      <c r="R42" s="78"/>
      <c r="S42" s="78"/>
      <c r="T42" s="78"/>
      <c r="U42" s="78"/>
      <c r="V42" s="78"/>
      <c r="W42" s="78"/>
      <c r="X42" s="78"/>
      <c r="Y42" s="78"/>
      <c r="Z42" s="78"/>
      <c r="AA42" s="78"/>
      <c r="AB42" s="79"/>
    </row>
    <row r="43" spans="1:28" ht="24.95" customHeight="1">
      <c r="A43" s="80" t="s">
        <v>14</v>
      </c>
      <c r="B43" s="81"/>
      <c r="C43" s="82"/>
      <c r="D43" s="50"/>
      <c r="E43" s="45" t="s">
        <v>139</v>
      </c>
      <c r="F43" s="45"/>
      <c r="G43" s="17"/>
      <c r="H43" s="70" t="s">
        <v>15</v>
      </c>
      <c r="I43" s="71"/>
      <c r="J43" s="18"/>
      <c r="K43" s="70" t="s">
        <v>16</v>
      </c>
      <c r="L43" s="70"/>
      <c r="M43" s="46"/>
      <c r="N43" s="70" t="s">
        <v>17</v>
      </c>
      <c r="O43" s="70"/>
      <c r="P43" s="47"/>
      <c r="Q43" s="70" t="s">
        <v>18</v>
      </c>
      <c r="R43" s="70"/>
      <c r="S43" s="48"/>
      <c r="T43" s="70" t="s">
        <v>19</v>
      </c>
      <c r="U43" s="70"/>
      <c r="V43" s="49"/>
      <c r="W43" s="70" t="s">
        <v>20</v>
      </c>
      <c r="X43" s="70"/>
      <c r="Y43" s="70"/>
      <c r="Z43" s="70"/>
      <c r="AA43" s="70"/>
      <c r="AB43" s="92"/>
    </row>
    <row r="44" spans="1:28" ht="24.95" customHeight="1">
      <c r="A44" s="61" t="s">
        <v>21</v>
      </c>
      <c r="B44" s="62"/>
      <c r="C44" s="63"/>
      <c r="D44" s="83" t="s">
        <v>22</v>
      </c>
      <c r="E44" s="84"/>
      <c r="F44" s="84"/>
      <c r="G44" s="84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 s="84"/>
      <c r="AB44" s="85"/>
    </row>
    <row r="45" spans="1:28" ht="24.95" customHeight="1">
      <c r="A45" s="64"/>
      <c r="B45" s="65"/>
      <c r="C45" s="66"/>
      <c r="D45" s="86" t="s">
        <v>23</v>
      </c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8"/>
    </row>
    <row r="46" spans="1:28" ht="24.95" customHeight="1" thickBot="1">
      <c r="A46" s="67"/>
      <c r="B46" s="68"/>
      <c r="C46" s="69"/>
      <c r="D46" s="89" t="s">
        <v>24</v>
      </c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1"/>
    </row>
    <row r="47" spans="1:28" ht="24.95" customHeight="1"/>
    <row r="48" spans="1:28" ht="24.95" customHeight="1"/>
    <row r="49" ht="24.95" customHeight="1"/>
    <row r="50" ht="24.95" customHeight="1"/>
    <row r="51" ht="24.95" customHeight="1"/>
    <row r="52" ht="24.95" customHeight="1"/>
    <row r="53" ht="24.95" customHeight="1"/>
    <row r="54" ht="24.95" customHeight="1"/>
    <row r="55" ht="24.95" customHeight="1"/>
    <row r="56" ht="24.95" customHeight="1"/>
    <row r="57" ht="24.95" customHeight="1"/>
    <row r="58" ht="24.95" customHeight="1"/>
    <row r="59" ht="24.95" customHeight="1"/>
    <row r="60" ht="24.95" customHeight="1"/>
    <row r="61" ht="24.95" customHeight="1"/>
    <row r="62" ht="24.95" customHeight="1"/>
    <row r="63" ht="24.95" customHeight="1"/>
    <row r="64" ht="24.95" customHeight="1"/>
    <row r="65" ht="24.95" customHeight="1"/>
    <row r="66" ht="24.95" customHeight="1"/>
    <row r="67" ht="24.95" customHeight="1"/>
    <row r="68" ht="24.95" customHeight="1"/>
    <row r="69" ht="24.95" customHeight="1"/>
    <row r="70" ht="24.95" customHeight="1"/>
    <row r="71" ht="24.95" customHeight="1"/>
    <row r="72" ht="24.95" customHeight="1"/>
    <row r="73" ht="24.95" customHeight="1"/>
    <row r="74" ht="24.95" customHeight="1"/>
    <row r="75" ht="24.95" customHeight="1"/>
    <row r="76" ht="24.95" customHeight="1"/>
    <row r="77" ht="24.95" customHeight="1"/>
    <row r="78" ht="24.95" customHeight="1"/>
    <row r="79" ht="24.95" customHeight="1"/>
    <row r="80" ht="24.95" customHeight="1"/>
    <row r="81" ht="24.95" customHeight="1"/>
    <row r="82" ht="24.95" customHeight="1"/>
    <row r="83" ht="24.95" customHeight="1"/>
    <row r="84" ht="24.95" customHeight="1"/>
    <row r="85" ht="24.95" customHeight="1"/>
    <row r="86" ht="24.95" customHeight="1"/>
    <row r="87" ht="24.95" customHeight="1"/>
    <row r="88" ht="24.95" customHeight="1"/>
    <row r="89" ht="24.95" customHeight="1"/>
    <row r="90" ht="24.95" customHeight="1"/>
    <row r="91" ht="24.95" customHeight="1"/>
    <row r="92" ht="24.95" customHeight="1"/>
    <row r="93" ht="24.95" customHeight="1"/>
    <row r="94" ht="24.95" customHeight="1"/>
    <row r="95" ht="24.95" customHeight="1"/>
    <row r="96" ht="24.95" customHeight="1"/>
    <row r="97" ht="24.95" customHeight="1"/>
    <row r="98" ht="24.95" customHeight="1"/>
    <row r="99" ht="24.95" customHeight="1"/>
    <row r="100" ht="24.95" customHeight="1"/>
    <row r="101" ht="24.95" customHeight="1"/>
    <row r="102" ht="24.95" customHeight="1"/>
    <row r="103" ht="24.95" customHeight="1"/>
    <row r="104" ht="24.95" customHeight="1"/>
    <row r="105" ht="24.95" customHeight="1"/>
    <row r="106" ht="24.95" customHeight="1"/>
    <row r="107" ht="24.95" customHeight="1"/>
    <row r="108" ht="24.95" customHeight="1"/>
    <row r="109" ht="24.95" customHeight="1"/>
    <row r="110" ht="24.95" customHeight="1"/>
    <row r="111" ht="24.95" customHeight="1"/>
    <row r="112" ht="24.95" customHeight="1"/>
    <row r="113" ht="24.95" customHeight="1"/>
    <row r="114" ht="24.95" customHeight="1"/>
    <row r="115" ht="24.95" customHeight="1"/>
    <row r="116" ht="24.95" customHeight="1"/>
    <row r="117" ht="24.95" customHeight="1"/>
    <row r="118" ht="24.95" customHeight="1"/>
    <row r="119" ht="24.95" customHeight="1"/>
    <row r="120" ht="24.95" customHeight="1"/>
    <row r="121" ht="24.95" customHeight="1"/>
    <row r="122" ht="24.95" customHeight="1"/>
    <row r="123" ht="24.95" customHeight="1"/>
    <row r="124" ht="24.95" customHeight="1"/>
    <row r="125" ht="24.95" customHeight="1"/>
    <row r="126" ht="24.95" customHeight="1"/>
    <row r="127" ht="24.95" customHeight="1"/>
    <row r="128" ht="24.95" customHeight="1"/>
    <row r="129" ht="24.95" customHeight="1"/>
    <row r="130" ht="24.95" customHeight="1"/>
    <row r="131" ht="24.95" customHeight="1"/>
    <row r="132" ht="24.95" customHeight="1"/>
    <row r="133" ht="24.95" customHeight="1"/>
    <row r="134" ht="24.95" customHeight="1"/>
    <row r="135" ht="24.95" customHeight="1"/>
    <row r="136" ht="24.95" customHeight="1"/>
    <row r="137" ht="24.95" customHeight="1"/>
    <row r="138" ht="24.95" customHeight="1"/>
    <row r="139" ht="24.95" customHeight="1"/>
    <row r="140" ht="24.95" customHeight="1"/>
    <row r="141" ht="24.95" customHeight="1"/>
    <row r="142" ht="24.95" customHeight="1"/>
    <row r="143" ht="24.95" customHeight="1"/>
    <row r="144" ht="24.95" customHeight="1"/>
    <row r="145" ht="24.95" customHeight="1"/>
    <row r="146" ht="24.95" customHeight="1"/>
    <row r="147" ht="24.95" customHeight="1"/>
    <row r="148" ht="24.95" customHeight="1"/>
    <row r="149" ht="24.95" customHeight="1"/>
    <row r="150" ht="24.95" customHeight="1"/>
    <row r="151" ht="24.95" customHeight="1"/>
    <row r="152" ht="24.95" customHeight="1"/>
    <row r="153" ht="24.95" customHeight="1"/>
    <row r="154" ht="24.95" customHeight="1"/>
    <row r="155" ht="24.95" customHeight="1"/>
    <row r="156" ht="24.95" customHeight="1"/>
    <row r="157" ht="24.95" customHeight="1"/>
    <row r="158" ht="24.95" customHeight="1"/>
    <row r="159" ht="24.95" customHeight="1"/>
    <row r="160" ht="24.95" customHeight="1"/>
    <row r="161" ht="24.95" customHeight="1"/>
    <row r="162" ht="24.95" customHeight="1"/>
    <row r="163" ht="24.95" customHeight="1"/>
    <row r="164" ht="24.95" customHeight="1"/>
    <row r="165" ht="24.95" customHeight="1"/>
    <row r="166" ht="24.95" customHeight="1"/>
    <row r="167" ht="24.95" customHeight="1"/>
    <row r="168" ht="24.95" customHeight="1"/>
    <row r="169" ht="24.95" customHeight="1"/>
    <row r="170" ht="24.95" customHeight="1"/>
    <row r="171" ht="24.95" customHeight="1"/>
  </sheetData>
  <mergeCells count="35">
    <mergeCell ref="A35:A36"/>
    <mergeCell ref="D6:AB6"/>
    <mergeCell ref="A6:B6"/>
    <mergeCell ref="A1:AB1"/>
    <mergeCell ref="A3:B4"/>
    <mergeCell ref="C3:C4"/>
    <mergeCell ref="I3:J3"/>
    <mergeCell ref="L3:M3"/>
    <mergeCell ref="O3:P3"/>
    <mergeCell ref="R3:S3"/>
    <mergeCell ref="X3:Z4"/>
    <mergeCell ref="AA3:AB4"/>
    <mergeCell ref="I4:J4"/>
    <mergeCell ref="L4:M4"/>
    <mergeCell ref="O4:P4"/>
    <mergeCell ref="R4:S4"/>
    <mergeCell ref="A44:C46"/>
    <mergeCell ref="H43:I43"/>
    <mergeCell ref="K43:L43"/>
    <mergeCell ref="N43:O43"/>
    <mergeCell ref="A41:AB41"/>
    <mergeCell ref="A42:C42"/>
    <mergeCell ref="D42:AB42"/>
    <mergeCell ref="A43:C43"/>
    <mergeCell ref="T43:U43"/>
    <mergeCell ref="Q43:R43"/>
    <mergeCell ref="D44:AB44"/>
    <mergeCell ref="D45:AB45"/>
    <mergeCell ref="D46:AB46"/>
    <mergeCell ref="W43:AB43"/>
    <mergeCell ref="A10:A11"/>
    <mergeCell ref="B10:B11"/>
    <mergeCell ref="A29:A30"/>
    <mergeCell ref="A31:A32"/>
    <mergeCell ref="A7:B7"/>
  </mergeCells>
  <phoneticPr fontId="1" type="noConversion"/>
  <conditionalFormatting sqref="G43:H43 J43:K43 M43:N43 Q43 S43:T43 V43:W43 D44:D46">
    <cfRule type="expression" dxfId="159" priority="366">
      <formula>AND(D$7&gt;=$B43,D$7&lt;=$C43,$A43="其他")</formula>
    </cfRule>
    <cfRule type="expression" dxfId="158" priority="367">
      <formula>AND(D$7&gt;=$B43,D$7&lt;=$C43,$A43="低云")</formula>
    </cfRule>
    <cfRule type="expression" dxfId="157" priority="368">
      <formula>AND(D$7&gt;=$B43,D$7&lt;=$C43,$A43="强降水")</formula>
    </cfRule>
    <cfRule type="expression" dxfId="156" priority="369">
      <formula>AND(D$7&gt;=$B43,D$7&lt;=$C43,$A43="雷暴")</formula>
    </cfRule>
    <cfRule type="expression" dxfId="155" priority="370">
      <formula>AND(D$7&gt;=$B43,D$7&lt;=$C43,$A43="大风")</formula>
    </cfRule>
    <cfRule type="expression" dxfId="154" priority="371">
      <formula>AND(D$7&gt;=$B43,D$7&lt;=$C43,$A43="降雪")</formula>
    </cfRule>
    <cfRule type="expression" dxfId="153" priority="372">
      <formula>AND(D$7&gt;=$B43,D$7&lt;=$C43,$A43="低能见度")</formula>
    </cfRule>
  </conditionalFormatting>
  <conditionalFormatting sqref="D9:AB9 D43 D12:AB40">
    <cfRule type="expression" dxfId="152" priority="359">
      <formula>AND(D$7&gt;=$C9,D$7&lt;=$D9,$B9="其他")</formula>
    </cfRule>
    <cfRule type="expression" dxfId="151" priority="360">
      <formula>AND(D$7&gt;=$C9,D$7&lt;=$D9,$B9="低云")</formula>
    </cfRule>
    <cfRule type="expression" dxfId="150" priority="361">
      <formula>AND(D$7&gt;=$C9,D$7&lt;=$D9,$B9="强降水")</formula>
    </cfRule>
    <cfRule type="expression" dxfId="149" priority="362">
      <formula>AND(D$7&gt;=$C9,D$7&lt;=$D9,$B9="雷暴")</formula>
    </cfRule>
    <cfRule type="expression" dxfId="148" priority="363">
      <formula>AND(D$7&gt;=$C9,D$7&lt;=$D9,$B9="大风")</formula>
    </cfRule>
    <cfRule type="expression" dxfId="147" priority="364">
      <formula>AND(D$7&gt;=$C9,D$7&lt;=$D9,$B9="降雪")</formula>
    </cfRule>
    <cfRule type="expression" dxfId="146" priority="365">
      <formula>AND(D$7&gt;=$C9,D$7&lt;=$D9,$B9="低能见度")</formula>
    </cfRule>
  </conditionalFormatting>
  <conditionalFormatting sqref="D9:AB13 D16:AB40">
    <cfRule type="cellIs" dxfId="145" priority="317" operator="equal">
      <formula>240</formula>
    </cfRule>
    <cfRule type="cellIs" dxfId="144" priority="318" operator="equal">
      <formula>210</formula>
    </cfRule>
    <cfRule type="cellIs" dxfId="143" priority="319" operator="equal">
      <formula>180</formula>
    </cfRule>
    <cfRule type="cellIs" dxfId="142" priority="320" operator="equal">
      <formula>150</formula>
    </cfRule>
    <cfRule type="cellIs" dxfId="141" priority="321" operator="equal">
      <formula>120</formula>
    </cfRule>
    <cfRule type="cellIs" dxfId="140" priority="322" operator="equal">
      <formula>90</formula>
    </cfRule>
    <cfRule type="cellIs" dxfId="139" priority="323" operator="equal">
      <formula>60</formula>
    </cfRule>
    <cfRule type="cellIs" dxfId="138" priority="324" operator="equal">
      <formula>30</formula>
    </cfRule>
    <cfRule type="containsText" dxfId="137" priority="325" operator="containsText" text="50">
      <formula>NOT(ISERROR(SEARCH("50",D9)))</formula>
    </cfRule>
    <cfRule type="containsText" dxfId="136" priority="326" operator="containsText" text="00">
      <formula>NOT(ISERROR(SEARCH("00",D9)))</formula>
    </cfRule>
    <cfRule type="containsText" dxfId="135" priority="327" operator="containsText" text="凇">
      <formula>NOT(ISERROR(SEARCH("凇",D9)))</formula>
    </cfRule>
    <cfRule type="containsText" dxfId="134" priority="328" operator="containsText" text="霜">
      <formula>NOT(ISERROR(SEARCH("霜",D9)))</formula>
    </cfRule>
    <cfRule type="containsText" dxfId="133" priority="329" operator="containsText" text="旋风">
      <formula>NOT(ISERROR(SEARCH("旋风",D9)))</formula>
    </cfRule>
    <cfRule type="containsText" dxfId="132" priority="330" operator="containsText" text="霾">
      <formula>NOT(ISERROR(SEARCH("霾",D9)))</formula>
    </cfRule>
    <cfRule type="containsText" dxfId="131" priority="331" operator="containsText" text="烟">
      <formula>NOT(ISERROR(SEARCH("烟",D9)))</formula>
    </cfRule>
    <cfRule type="containsText" dxfId="130" priority="332" operator="containsText" text="火山灰">
      <formula>NOT(ISERROR(SEARCH("火山灰",D9)))</formula>
    </cfRule>
    <cfRule type="containsText" dxfId="129" priority="333" operator="containsText" text="尘">
      <formula>NOT(ISERROR(SEARCH("尘",D9)))</formula>
    </cfRule>
    <cfRule type="containsText" dxfId="128" priority="334" operator="containsText" text="沙">
      <formula>NOT(ISERROR(SEARCH("沙",D9)))</formula>
    </cfRule>
    <cfRule type="containsText" dxfId="127" priority="335" operator="containsText" text="冻毛毛雨">
      <formula>NOT(ISERROR(SEARCH("冻毛毛雨",D9)))</formula>
    </cfRule>
    <cfRule type="containsText" dxfId="126" priority="336" operator="containsText" text="冻雨">
      <formula>NOT(ISERROR(SEARCH("冻雨",D9)))</formula>
    </cfRule>
    <cfRule type="containsText" dxfId="125" priority="337" operator="containsText" text="雨夹雪">
      <formula>NOT(ISERROR(SEARCH("雨夹雪",D9)))</formula>
    </cfRule>
    <cfRule type="containsText" dxfId="124" priority="338" operator="containsText" text="大毛毛雨">
      <formula>NOT(ISERROR(SEARCH("大毛毛雨",D9)))</formula>
    </cfRule>
    <cfRule type="containsText" dxfId="123" priority="339" operator="containsText" text="中毛毛雨">
      <formula>NOT(ISERROR(SEARCH("中毛毛雨",D9)))</formula>
    </cfRule>
    <cfRule type="containsText" dxfId="122" priority="340" operator="containsText" text="小毛毛雨">
      <formula>NOT(ISERROR(SEARCH("小毛毛雨",D9)))</formula>
    </cfRule>
    <cfRule type="containsText" dxfId="121" priority="341" operator="containsText" text="大雨">
      <formula>NOT(ISERROR(SEARCH("大雨",D9)))</formula>
    </cfRule>
    <cfRule type="containsText" dxfId="120" priority="342" operator="containsText" text="中雨">
      <formula>NOT(ISERROR(SEARCH("中雨",D9)))</formula>
    </cfRule>
    <cfRule type="containsText" dxfId="119" priority="343" operator="containsText" text="小雨">
      <formula>NOT(ISERROR(SEARCH("小雨",D9)))</formula>
    </cfRule>
    <cfRule type="containsText" dxfId="118" priority="344" operator="containsText" text="大阵雨">
      <formula>NOT(ISERROR(SEARCH("大阵雨",D9)))</formula>
    </cfRule>
    <cfRule type="containsText" dxfId="117" priority="345" operator="containsText" text="中阵雨">
      <formula>NOT(ISERROR(SEARCH("中阵雨",D9)))</formula>
    </cfRule>
    <cfRule type="containsText" dxfId="116" priority="346" operator="containsText" text="小阵雨">
      <formula>NOT(ISERROR(SEARCH("小阵雨",D9)))</formula>
    </cfRule>
    <cfRule type="containsText" dxfId="115" priority="347" operator="containsText" text="冰晶">
      <formula>NOT(ISERROR(SEARCH("冰晶",D9)))</formula>
    </cfRule>
    <cfRule type="containsText" dxfId="114" priority="348" operator="containsText" text="冰粒">
      <formula>NOT(ISERROR(SEARCH("冰粒",D9)))</formula>
    </cfRule>
    <cfRule type="containsText" dxfId="113" priority="349" operator="containsText" text="霰">
      <formula>NOT(ISERROR(SEARCH("霰",D9)))</formula>
    </cfRule>
    <cfRule type="containsText" dxfId="112" priority="350" operator="containsText" text="雪">
      <formula>NOT(ISERROR(SEARCH("雪",D9)))</formula>
    </cfRule>
    <cfRule type="containsText" dxfId="111" priority="351" operator="containsText" text="N">
      <formula>NOT(ISERROR(SEARCH("N",D9)))</formula>
    </cfRule>
    <cfRule type="containsText" dxfId="110" priority="352" operator="containsText" text="S">
      <formula>NOT(ISERROR(SEARCH("S",D9)))</formula>
    </cfRule>
    <cfRule type="containsText" dxfId="109" priority="353" operator="containsText" text="W">
      <formula>NOT(ISERROR(SEARCH("W",D9)))</formula>
    </cfRule>
    <cfRule type="containsText" dxfId="108" priority="354" operator="containsText" text="E">
      <formula>NOT(ISERROR(SEARCH("E",D9)))</formula>
    </cfRule>
    <cfRule type="containsText" dxfId="107" priority="355" operator="containsText" text="漏斗云">
      <formula>NOT(ISERROR(SEARCH("漏斗云",D9)))</formula>
    </cfRule>
    <cfRule type="containsText" dxfId="106" priority="356" operator="containsText" text="飑">
      <formula>NOT(ISERROR(SEARCH("飑",D9)))</formula>
    </cfRule>
    <cfRule type="containsText" dxfId="105" priority="357" operator="containsText" text="雹">
      <formula>NOT(ISERROR(SEARCH("雹",D9)))</formula>
    </cfRule>
    <cfRule type="containsText" dxfId="104" priority="358" operator="containsText" text="雷">
      <formula>NOT(ISERROR(SEARCH("雷",D9)))</formula>
    </cfRule>
  </conditionalFormatting>
  <conditionalFormatting sqref="D43">
    <cfRule type="cellIs" dxfId="103" priority="170" operator="equal">
      <formula>240</formula>
    </cfRule>
    <cfRule type="cellIs" dxfId="102" priority="171" operator="equal">
      <formula>210</formula>
    </cfRule>
    <cfRule type="cellIs" dxfId="101" priority="172" operator="equal">
      <formula>180</formula>
    </cfRule>
    <cfRule type="cellIs" dxfId="100" priority="173" operator="equal">
      <formula>150</formula>
    </cfRule>
    <cfRule type="cellIs" dxfId="99" priority="174" operator="equal">
      <formula>120</formula>
    </cfRule>
    <cfRule type="cellIs" dxfId="98" priority="175" operator="equal">
      <formula>90</formula>
    </cfRule>
    <cfRule type="cellIs" dxfId="97" priority="176" operator="equal">
      <formula>60</formula>
    </cfRule>
    <cfRule type="cellIs" dxfId="96" priority="177" operator="equal">
      <formula>30</formula>
    </cfRule>
    <cfRule type="containsText" dxfId="95" priority="178" operator="containsText" text="50">
      <formula>NOT(ISERROR(SEARCH("50",D43)))</formula>
    </cfRule>
    <cfRule type="containsText" dxfId="94" priority="179" operator="containsText" text="00">
      <formula>NOT(ISERROR(SEARCH("00",D43)))</formula>
    </cfRule>
    <cfRule type="containsText" dxfId="93" priority="180" operator="containsText" text="凇">
      <formula>NOT(ISERROR(SEARCH("凇",D43)))</formula>
    </cfRule>
    <cfRule type="containsText" dxfId="92" priority="181" operator="containsText" text="霜">
      <formula>NOT(ISERROR(SEARCH("霜",D43)))</formula>
    </cfRule>
    <cfRule type="containsText" dxfId="91" priority="182" operator="containsText" text="旋风">
      <formula>NOT(ISERROR(SEARCH("旋风",D43)))</formula>
    </cfRule>
    <cfRule type="containsText" dxfId="90" priority="183" operator="containsText" text="霾">
      <formula>NOT(ISERROR(SEARCH("霾",D43)))</formula>
    </cfRule>
    <cfRule type="containsText" dxfId="89" priority="184" operator="containsText" text="烟">
      <formula>NOT(ISERROR(SEARCH("烟",D43)))</formula>
    </cfRule>
    <cfRule type="containsText" dxfId="88" priority="185" operator="containsText" text="火山灰">
      <formula>NOT(ISERROR(SEARCH("火山灰",D43)))</formula>
    </cfRule>
    <cfRule type="containsText" dxfId="87" priority="186" operator="containsText" text="尘">
      <formula>NOT(ISERROR(SEARCH("尘",D43)))</formula>
    </cfRule>
    <cfRule type="containsText" dxfId="86" priority="187" operator="containsText" text="沙">
      <formula>NOT(ISERROR(SEARCH("沙",D43)))</formula>
    </cfRule>
    <cfRule type="containsText" dxfId="85" priority="188" operator="containsText" text="冻毛毛雨">
      <formula>NOT(ISERROR(SEARCH("冻毛毛雨",D43)))</formula>
    </cfRule>
    <cfRule type="containsText" dxfId="84" priority="189" operator="containsText" text="冻雨">
      <formula>NOT(ISERROR(SEARCH("冻雨",D43)))</formula>
    </cfRule>
    <cfRule type="containsText" dxfId="83" priority="190" operator="containsText" text="雨夹雪">
      <formula>NOT(ISERROR(SEARCH("雨夹雪",D43)))</formula>
    </cfRule>
    <cfRule type="containsText" dxfId="82" priority="191" operator="containsText" text="大毛毛雨">
      <formula>NOT(ISERROR(SEARCH("大毛毛雨",D43)))</formula>
    </cfRule>
    <cfRule type="containsText" dxfId="81" priority="192" operator="containsText" text="中毛毛雨">
      <formula>NOT(ISERROR(SEARCH("中毛毛雨",D43)))</formula>
    </cfRule>
    <cfRule type="containsText" dxfId="80" priority="193" operator="containsText" text="小毛毛雨">
      <formula>NOT(ISERROR(SEARCH("小毛毛雨",D43)))</formula>
    </cfRule>
    <cfRule type="containsText" dxfId="79" priority="194" operator="containsText" text="大雨">
      <formula>NOT(ISERROR(SEARCH("大雨",D43)))</formula>
    </cfRule>
    <cfRule type="containsText" dxfId="78" priority="195" operator="containsText" text="中雨">
      <formula>NOT(ISERROR(SEARCH("中雨",D43)))</formula>
    </cfRule>
    <cfRule type="containsText" dxfId="77" priority="196" operator="containsText" text="小雨">
      <formula>NOT(ISERROR(SEARCH("小雨",D43)))</formula>
    </cfRule>
    <cfRule type="containsText" dxfId="76" priority="197" operator="containsText" text="大阵雨">
      <formula>NOT(ISERROR(SEARCH("大阵雨",D43)))</formula>
    </cfRule>
    <cfRule type="containsText" dxfId="75" priority="198" operator="containsText" text="中阵雨">
      <formula>NOT(ISERROR(SEARCH("中阵雨",D43)))</formula>
    </cfRule>
    <cfRule type="containsText" dxfId="74" priority="199" operator="containsText" text="小阵雨">
      <formula>NOT(ISERROR(SEARCH("小阵雨",D43)))</formula>
    </cfRule>
    <cfRule type="containsText" dxfId="73" priority="200" operator="containsText" text="冰晶">
      <formula>NOT(ISERROR(SEARCH("冰晶",D43)))</formula>
    </cfRule>
    <cfRule type="containsText" dxfId="72" priority="201" operator="containsText" text="冰粒">
      <formula>NOT(ISERROR(SEARCH("冰粒",D43)))</formula>
    </cfRule>
    <cfRule type="containsText" dxfId="71" priority="202" operator="containsText" text="霰">
      <formula>NOT(ISERROR(SEARCH("霰",D43)))</formula>
    </cfRule>
    <cfRule type="containsText" dxfId="70" priority="203" operator="containsText" text="雪">
      <formula>NOT(ISERROR(SEARCH("雪",D43)))</formula>
    </cfRule>
    <cfRule type="containsText" dxfId="69" priority="204" operator="containsText" text="N">
      <formula>NOT(ISERROR(SEARCH("N",D43)))</formula>
    </cfRule>
    <cfRule type="containsText" dxfId="68" priority="205" operator="containsText" text="S">
      <formula>NOT(ISERROR(SEARCH("S",D43)))</formula>
    </cfRule>
    <cfRule type="containsText" dxfId="67" priority="206" operator="containsText" text="W">
      <formula>NOT(ISERROR(SEARCH("W",D43)))</formula>
    </cfRule>
    <cfRule type="containsText" dxfId="66" priority="207" operator="containsText" text="E">
      <formula>NOT(ISERROR(SEARCH("E",D43)))</formula>
    </cfRule>
    <cfRule type="containsText" dxfId="65" priority="208" operator="containsText" text="漏斗云">
      <formula>NOT(ISERROR(SEARCH("漏斗云",D43)))</formula>
    </cfRule>
    <cfRule type="containsText" dxfId="64" priority="209" operator="containsText" text="飑">
      <formula>NOT(ISERROR(SEARCH("飑",D43)))</formula>
    </cfRule>
    <cfRule type="containsText" dxfId="63" priority="210" operator="containsText" text="雹">
      <formula>NOT(ISERROR(SEARCH("雹",D43)))</formula>
    </cfRule>
    <cfRule type="containsText" dxfId="62" priority="211" operator="containsText" text="雷">
      <formula>NOT(ISERROR(SEARCH("雷",D43)))</formula>
    </cfRule>
  </conditionalFormatting>
  <conditionalFormatting sqref="D9:AB13 D16:AB40">
    <cfRule type="cellIs" dxfId="61" priority="55" operator="between">
      <formula>31</formula>
      <formula>49</formula>
    </cfRule>
    <cfRule type="containsText" dxfId="60" priority="57" operator="containsText" text="℃">
      <formula>NOT(ISERROR(SEARCH("℃",D9)))</formula>
    </cfRule>
  </conditionalFormatting>
  <conditionalFormatting sqref="D11:AB13 D16:AB40">
    <cfRule type="containsText" dxfId="59" priority="56" operator="containsText" text="℃">
      <formula>NOT(ISERROR(SEARCH("℃",D11)))</formula>
    </cfRule>
  </conditionalFormatting>
  <conditionalFormatting sqref="D14:AB15">
    <cfRule type="cellIs" dxfId="58" priority="4" operator="equal">
      <formula>240</formula>
    </cfRule>
    <cfRule type="cellIs" dxfId="57" priority="5" operator="equal">
      <formula>210</formula>
    </cfRule>
    <cfRule type="cellIs" dxfId="56" priority="6" operator="equal">
      <formula>180</formula>
    </cfRule>
    <cfRule type="cellIs" dxfId="55" priority="7" operator="equal">
      <formula>150</formula>
    </cfRule>
    <cfRule type="cellIs" dxfId="54" priority="8" operator="equal">
      <formula>120</formula>
    </cfRule>
    <cfRule type="cellIs" dxfId="53" priority="9" operator="equal">
      <formula>90</formula>
    </cfRule>
    <cfRule type="cellIs" dxfId="52" priority="10" operator="equal">
      <formula>60</formula>
    </cfRule>
    <cfRule type="cellIs" dxfId="51" priority="11" operator="equal">
      <formula>30</formula>
    </cfRule>
    <cfRule type="containsText" dxfId="50" priority="12" operator="containsText" text="50">
      <formula>NOT(ISERROR(SEARCH("50",D14)))</formula>
    </cfRule>
    <cfRule type="containsText" dxfId="49" priority="13" operator="containsText" text="00">
      <formula>NOT(ISERROR(SEARCH("00",D14)))</formula>
    </cfRule>
    <cfRule type="containsText" dxfId="48" priority="14" operator="containsText" text="凇">
      <formula>NOT(ISERROR(SEARCH("凇",D14)))</formula>
    </cfRule>
    <cfRule type="containsText" dxfId="47" priority="15" operator="containsText" text="霜">
      <formula>NOT(ISERROR(SEARCH("霜",D14)))</formula>
    </cfRule>
    <cfRule type="containsText" dxfId="46" priority="16" operator="containsText" text="旋风">
      <formula>NOT(ISERROR(SEARCH("旋风",D14)))</formula>
    </cfRule>
    <cfRule type="containsText" dxfId="45" priority="17" operator="containsText" text="霾">
      <formula>NOT(ISERROR(SEARCH("霾",D14)))</formula>
    </cfRule>
    <cfRule type="containsText" dxfId="44" priority="18" operator="containsText" text="烟">
      <formula>NOT(ISERROR(SEARCH("烟",D14)))</formula>
    </cfRule>
    <cfRule type="containsText" dxfId="43" priority="19" operator="containsText" text="火山灰">
      <formula>NOT(ISERROR(SEARCH("火山灰",D14)))</formula>
    </cfRule>
    <cfRule type="containsText" dxfId="42" priority="20" operator="containsText" text="尘">
      <formula>NOT(ISERROR(SEARCH("尘",D14)))</formula>
    </cfRule>
    <cfRule type="containsText" dxfId="41" priority="21" operator="containsText" text="沙">
      <formula>NOT(ISERROR(SEARCH("沙",D14)))</formula>
    </cfRule>
    <cfRule type="containsText" dxfId="40" priority="22" operator="containsText" text="冻毛毛雨">
      <formula>NOT(ISERROR(SEARCH("冻毛毛雨",D14)))</formula>
    </cfRule>
    <cfRule type="containsText" dxfId="39" priority="23" operator="containsText" text="冻雨">
      <formula>NOT(ISERROR(SEARCH("冻雨",D14)))</formula>
    </cfRule>
    <cfRule type="containsText" dxfId="38" priority="24" operator="containsText" text="雨夹雪">
      <formula>NOT(ISERROR(SEARCH("雨夹雪",D14)))</formula>
    </cfRule>
    <cfRule type="containsText" dxfId="37" priority="25" operator="containsText" text="大毛毛雨">
      <formula>NOT(ISERROR(SEARCH("大毛毛雨",D14)))</formula>
    </cfRule>
    <cfRule type="containsText" dxfId="36" priority="26" operator="containsText" text="中毛毛雨">
      <formula>NOT(ISERROR(SEARCH("中毛毛雨",D14)))</formula>
    </cfRule>
    <cfRule type="containsText" dxfId="35" priority="27" operator="containsText" text="小毛毛雨">
      <formula>NOT(ISERROR(SEARCH("小毛毛雨",D14)))</formula>
    </cfRule>
    <cfRule type="containsText" dxfId="34" priority="28" operator="containsText" text="大雨">
      <formula>NOT(ISERROR(SEARCH("大雨",D14)))</formula>
    </cfRule>
    <cfRule type="containsText" dxfId="33" priority="29" operator="containsText" text="中雨">
      <formula>NOT(ISERROR(SEARCH("中雨",D14)))</formula>
    </cfRule>
    <cfRule type="containsText" dxfId="32" priority="30" operator="containsText" text="小雨">
      <formula>NOT(ISERROR(SEARCH("小雨",D14)))</formula>
    </cfRule>
    <cfRule type="containsText" dxfId="31" priority="31" operator="containsText" text="大阵雨">
      <formula>NOT(ISERROR(SEARCH("大阵雨",D14)))</formula>
    </cfRule>
    <cfRule type="containsText" dxfId="30" priority="32" operator="containsText" text="中阵雨">
      <formula>NOT(ISERROR(SEARCH("中阵雨",D14)))</formula>
    </cfRule>
    <cfRule type="containsText" dxfId="29" priority="33" operator="containsText" text="小阵雨">
      <formula>NOT(ISERROR(SEARCH("小阵雨",D14)))</formula>
    </cfRule>
    <cfRule type="containsText" dxfId="28" priority="34" operator="containsText" text="冰晶">
      <formula>NOT(ISERROR(SEARCH("冰晶",D14)))</formula>
    </cfRule>
    <cfRule type="containsText" dxfId="27" priority="35" operator="containsText" text="冰粒">
      <formula>NOT(ISERROR(SEARCH("冰粒",D14)))</formula>
    </cfRule>
    <cfRule type="containsText" dxfId="26" priority="36" operator="containsText" text="霰">
      <formula>NOT(ISERROR(SEARCH("霰",D14)))</formula>
    </cfRule>
    <cfRule type="containsText" dxfId="25" priority="37" operator="containsText" text="雪">
      <formula>NOT(ISERROR(SEARCH("雪",D14)))</formula>
    </cfRule>
    <cfRule type="containsText" dxfId="24" priority="38" operator="containsText" text="N">
      <formula>NOT(ISERROR(SEARCH("N",D14)))</formula>
    </cfRule>
    <cfRule type="containsText" dxfId="23" priority="39" operator="containsText" text="S">
      <formula>NOT(ISERROR(SEARCH("S",D14)))</formula>
    </cfRule>
    <cfRule type="containsText" dxfId="22" priority="40" operator="containsText" text="W">
      <formula>NOT(ISERROR(SEARCH("W",D14)))</formula>
    </cfRule>
    <cfRule type="containsText" dxfId="21" priority="41" operator="containsText" text="E">
      <formula>NOT(ISERROR(SEARCH("E",D14)))</formula>
    </cfRule>
    <cfRule type="containsText" dxfId="20" priority="42" operator="containsText" text="漏斗云">
      <formula>NOT(ISERROR(SEARCH("漏斗云",D14)))</formula>
    </cfRule>
    <cfRule type="containsText" dxfId="19" priority="43" operator="containsText" text="飑">
      <formula>NOT(ISERROR(SEARCH("飑",D14)))</formula>
    </cfRule>
    <cfRule type="containsText" dxfId="18" priority="44" operator="containsText" text="雹">
      <formula>NOT(ISERROR(SEARCH("雹",D14)))</formula>
    </cfRule>
    <cfRule type="containsText" dxfId="17" priority="45" operator="containsText" text="雷">
      <formula>NOT(ISERROR(SEARCH("雷",D14)))</formula>
    </cfRule>
  </conditionalFormatting>
  <conditionalFormatting sqref="D14:AB15">
    <cfRule type="cellIs" dxfId="16" priority="1" operator="between">
      <formula>31</formula>
      <formula>49</formula>
    </cfRule>
    <cfRule type="containsText" dxfId="15" priority="3" operator="containsText" text="℃">
      <formula>NOT(ISERROR(SEARCH("℃",D14)))</formula>
    </cfRule>
  </conditionalFormatting>
  <conditionalFormatting sqref="D14:AB15">
    <cfRule type="containsText" dxfId="14" priority="2" operator="containsText" text="℃">
      <formula>NOT(ISERROR(SEARCH("℃",D14)))</formula>
    </cfRule>
  </conditionalFormatting>
  <conditionalFormatting sqref="D11:AB11">
    <cfRule type="expression" dxfId="13" priority="436">
      <formula>AND(D$7&gt;=$C11,D$7&lt;=$D11,$B10="其他")</formula>
    </cfRule>
    <cfRule type="expression" dxfId="12" priority="437">
      <formula>AND(D$7&gt;=$C11,D$7&lt;=$D11,$B10="低云")</formula>
    </cfRule>
    <cfRule type="expression" dxfId="11" priority="438">
      <formula>AND(D$7&gt;=$C11,D$7&lt;=$D11,$B10="强降水")</formula>
    </cfRule>
    <cfRule type="expression" dxfId="10" priority="439">
      <formula>AND(D$7&gt;=$C11,D$7&lt;=$D11,$B10="雷暴")</formula>
    </cfRule>
    <cfRule type="expression" dxfId="9" priority="440">
      <formula>AND(D$7&gt;=$C11,D$7&lt;=$D11,$B10="大风")</formula>
    </cfRule>
    <cfRule type="expression" dxfId="8" priority="441">
      <formula>AND(D$7&gt;=$C11,D$7&lt;=$D11,$B10="降雪")</formula>
    </cfRule>
    <cfRule type="expression" dxfId="7" priority="442">
      <formula>AND(D$7&gt;=$C11,D$7&lt;=$D11,$B10="低能见度")</formula>
    </cfRule>
  </conditionalFormatting>
  <conditionalFormatting sqref="D10:AB10">
    <cfRule type="expression" dxfId="6" priority="443">
      <formula>AND(D$7&gt;=$C10,D$7&lt;=$D10,#REF!="其他")</formula>
    </cfRule>
    <cfRule type="expression" dxfId="5" priority="444">
      <formula>AND(D$7&gt;=$C10,D$7&lt;=$D10,#REF!="低云")</formula>
    </cfRule>
    <cfRule type="expression" dxfId="4" priority="445">
      <formula>AND(D$7&gt;=$C10,D$7&lt;=$D10,#REF!="强降水")</formula>
    </cfRule>
    <cfRule type="expression" dxfId="3" priority="446">
      <formula>AND(D$7&gt;=$C10,D$7&lt;=$D10,#REF!="雷暴")</formula>
    </cfRule>
    <cfRule type="expression" dxfId="2" priority="447">
      <formula>AND(D$7&gt;=$C10,D$7&lt;=$D10,#REF!="大风")</formula>
    </cfRule>
    <cfRule type="expression" dxfId="1" priority="448">
      <formula>AND(D$7&gt;=$C10,D$7&lt;=$D10,#REF!="降雪")</formula>
    </cfRule>
    <cfRule type="expression" dxfId="0" priority="449">
      <formula>AND(D$7&gt;=$C10,D$7&lt;=$D10,#REF!="低能见度")</formula>
    </cfRule>
  </conditionalFormatting>
  <dataValidations count="2">
    <dataValidation allowBlank="1" showInputMessage="1" showErrorMessage="1" prompt="需双击后再修改15为其他时刻" sqref="C6"/>
    <dataValidation type="list" allowBlank="1" showInputMessage="1" showErrorMessage="1" sqref="AA3:AB4">
      <formula1>"崔云云,吴霄,曹骏,杨风良,罗奕杰,赵铁彪,张倩,苏永发"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/>
  <sheetData/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1"/>
  <sheetViews>
    <sheetView workbookViewId="0">
      <selection activeCell="R25" sqref="R25"/>
    </sheetView>
  </sheetViews>
  <sheetFormatPr defaultRowHeight="14.25"/>
  <cols>
    <col min="1" max="1" width="10.375" style="26" customWidth="1"/>
    <col min="2" max="2" width="27.5" style="26" customWidth="1"/>
    <col min="3" max="3" width="9" style="26"/>
    <col min="4" max="4" width="11.375" style="26" customWidth="1"/>
    <col min="5" max="5" width="9" style="26"/>
    <col min="6" max="6" width="25.875" style="26" customWidth="1"/>
    <col min="7" max="7" width="9" style="26"/>
    <col min="8" max="8" width="23.25" style="26" customWidth="1"/>
    <col min="9" max="9" width="6.375" style="26" customWidth="1"/>
    <col min="10" max="10" width="16.5" style="26" customWidth="1"/>
    <col min="11" max="11" width="14.625" style="26" bestFit="1" customWidth="1"/>
    <col min="12" max="12" width="11.375" style="26" customWidth="1"/>
    <col min="13" max="13" width="9" style="26"/>
    <col min="14" max="14" width="16.875" style="26" customWidth="1"/>
    <col min="15" max="16384" width="9" style="26"/>
  </cols>
  <sheetData>
    <row r="1" spans="1:14">
      <c r="A1" s="120" t="s">
        <v>25</v>
      </c>
      <c r="B1" s="121"/>
      <c r="C1" s="120" t="s">
        <v>26</v>
      </c>
      <c r="D1" s="121"/>
      <c r="E1" s="120" t="s">
        <v>27</v>
      </c>
      <c r="F1" s="123"/>
      <c r="G1" s="120" t="s">
        <v>28</v>
      </c>
      <c r="H1" s="123"/>
      <c r="I1" s="120" t="s">
        <v>29</v>
      </c>
      <c r="J1" s="121"/>
      <c r="K1" s="120" t="s">
        <v>30</v>
      </c>
      <c r="L1" s="121"/>
      <c r="M1" s="120" t="s">
        <v>31</v>
      </c>
      <c r="N1" s="123"/>
    </row>
    <row r="2" spans="1:14">
      <c r="A2" s="27" t="s">
        <v>32</v>
      </c>
      <c r="B2" s="28" t="s">
        <v>33</v>
      </c>
      <c r="C2" s="27" t="s">
        <v>32</v>
      </c>
      <c r="D2" s="28" t="s">
        <v>33</v>
      </c>
      <c r="E2" s="27" t="s">
        <v>32</v>
      </c>
      <c r="F2" s="29" t="s">
        <v>33</v>
      </c>
      <c r="G2" s="27" t="s">
        <v>32</v>
      </c>
      <c r="H2" s="29" t="s">
        <v>33</v>
      </c>
      <c r="I2" s="27" t="s">
        <v>32</v>
      </c>
      <c r="J2" s="28" t="s">
        <v>34</v>
      </c>
      <c r="K2" s="27" t="s">
        <v>32</v>
      </c>
      <c r="L2" s="28" t="s">
        <v>33</v>
      </c>
      <c r="M2" s="27" t="s">
        <v>32</v>
      </c>
      <c r="N2" s="29" t="s">
        <v>33</v>
      </c>
    </row>
    <row r="3" spans="1:14">
      <c r="A3" s="116" t="s">
        <v>35</v>
      </c>
      <c r="B3" s="30" t="s">
        <v>36</v>
      </c>
      <c r="C3" s="31" t="s">
        <v>37</v>
      </c>
      <c r="D3" s="30" t="s">
        <v>37</v>
      </c>
      <c r="E3" s="116" t="s">
        <v>38</v>
      </c>
      <c r="F3" s="32" t="s">
        <v>39</v>
      </c>
      <c r="G3" s="31" t="s">
        <v>40</v>
      </c>
      <c r="H3" s="32" t="s">
        <v>41</v>
      </c>
      <c r="I3" s="33" t="s">
        <v>42</v>
      </c>
      <c r="J3" s="30" t="s">
        <v>43</v>
      </c>
      <c r="K3" s="33" t="s">
        <v>44</v>
      </c>
      <c r="L3" s="30" t="s">
        <v>45</v>
      </c>
      <c r="M3" s="124" t="s">
        <v>46</v>
      </c>
      <c r="N3" s="32" t="s">
        <v>47</v>
      </c>
    </row>
    <row r="4" spans="1:14" ht="15" thickBot="1">
      <c r="A4" s="116"/>
      <c r="B4" s="30" t="s">
        <v>48</v>
      </c>
      <c r="C4" s="31" t="s">
        <v>49</v>
      </c>
      <c r="D4" s="30" t="s">
        <v>49</v>
      </c>
      <c r="E4" s="116"/>
      <c r="F4" s="32" t="s">
        <v>50</v>
      </c>
      <c r="G4" s="31" t="s">
        <v>51</v>
      </c>
      <c r="H4" s="32" t="s">
        <v>52</v>
      </c>
      <c r="I4" s="34" t="s">
        <v>53</v>
      </c>
      <c r="J4" s="35" t="s">
        <v>54</v>
      </c>
      <c r="K4" s="33" t="s">
        <v>55</v>
      </c>
      <c r="L4" s="30" t="s">
        <v>56</v>
      </c>
      <c r="M4" s="124"/>
      <c r="N4" s="32" t="s">
        <v>57</v>
      </c>
    </row>
    <row r="5" spans="1:14">
      <c r="A5" s="116"/>
      <c r="B5" s="30" t="s">
        <v>58</v>
      </c>
      <c r="C5" s="31" t="s">
        <v>59</v>
      </c>
      <c r="D5" s="30" t="s">
        <v>59</v>
      </c>
      <c r="E5" s="116"/>
      <c r="F5" s="32" t="s">
        <v>60</v>
      </c>
      <c r="G5" s="31" t="s">
        <v>61</v>
      </c>
      <c r="H5" s="32" t="s">
        <v>62</v>
      </c>
      <c r="K5" s="33" t="s">
        <v>63</v>
      </c>
      <c r="L5" s="30" t="s">
        <v>64</v>
      </c>
      <c r="M5" s="124"/>
      <c r="N5" s="32" t="s">
        <v>65</v>
      </c>
    </row>
    <row r="6" spans="1:14" ht="15" thickBot="1">
      <c r="A6" s="116"/>
      <c r="B6" s="30" t="s">
        <v>66</v>
      </c>
      <c r="C6" s="31" t="s">
        <v>67</v>
      </c>
      <c r="D6" s="30" t="s">
        <v>67</v>
      </c>
      <c r="E6" s="116"/>
      <c r="F6" s="36" t="s">
        <v>68</v>
      </c>
      <c r="G6" s="37" t="s">
        <v>69</v>
      </c>
      <c r="H6" s="38" t="s">
        <v>70</v>
      </c>
      <c r="K6" s="33" t="s">
        <v>71</v>
      </c>
      <c r="L6" s="30" t="s">
        <v>72</v>
      </c>
      <c r="M6" s="116" t="s">
        <v>73</v>
      </c>
      <c r="N6" s="32" t="s">
        <v>74</v>
      </c>
    </row>
    <row r="7" spans="1:14">
      <c r="A7" s="116"/>
      <c r="B7" s="30" t="s">
        <v>75</v>
      </c>
      <c r="C7" s="31" t="s">
        <v>76</v>
      </c>
      <c r="D7" s="30" t="s">
        <v>77</v>
      </c>
      <c r="E7" s="116"/>
      <c r="F7" s="32" t="s">
        <v>78</v>
      </c>
      <c r="K7" s="39" t="s">
        <v>79</v>
      </c>
      <c r="L7" s="40" t="s">
        <v>80</v>
      </c>
      <c r="M7" s="116"/>
      <c r="N7" s="32" t="s">
        <v>81</v>
      </c>
    </row>
    <row r="8" spans="1:14">
      <c r="A8" s="116"/>
      <c r="B8" s="30" t="s">
        <v>82</v>
      </c>
      <c r="C8" s="31" t="s">
        <v>83</v>
      </c>
      <c r="D8" s="30" t="s">
        <v>84</v>
      </c>
      <c r="E8" s="116" t="s">
        <v>85</v>
      </c>
      <c r="F8" s="32" t="s">
        <v>86</v>
      </c>
      <c r="K8" s="33" t="s">
        <v>87</v>
      </c>
      <c r="L8" s="30" t="s">
        <v>88</v>
      </c>
      <c r="M8" s="116"/>
      <c r="N8" s="32" t="s">
        <v>89</v>
      </c>
    </row>
    <row r="9" spans="1:14">
      <c r="A9" s="116" t="s">
        <v>90</v>
      </c>
      <c r="B9" s="30" t="s">
        <v>91</v>
      </c>
      <c r="C9" s="31" t="s">
        <v>92</v>
      </c>
      <c r="D9" s="30" t="s">
        <v>93</v>
      </c>
      <c r="E9" s="116"/>
      <c r="F9" s="32" t="s">
        <v>94</v>
      </c>
      <c r="K9" s="33" t="s">
        <v>95</v>
      </c>
      <c r="L9" s="30" t="s">
        <v>96</v>
      </c>
      <c r="M9" s="116" t="s">
        <v>97</v>
      </c>
      <c r="N9" s="32" t="s">
        <v>98</v>
      </c>
    </row>
    <row r="10" spans="1:14">
      <c r="A10" s="116"/>
      <c r="B10" s="30" t="s">
        <v>99</v>
      </c>
      <c r="C10" s="31" t="s">
        <v>100</v>
      </c>
      <c r="D10" s="30" t="s">
        <v>101</v>
      </c>
      <c r="E10" s="116"/>
      <c r="F10" s="32" t="s">
        <v>102</v>
      </c>
      <c r="K10" s="33" t="s">
        <v>103</v>
      </c>
      <c r="L10" s="30" t="s">
        <v>104</v>
      </c>
      <c r="M10" s="116"/>
      <c r="N10" s="32" t="s">
        <v>105</v>
      </c>
    </row>
    <row r="11" spans="1:14" ht="15" thickBot="1">
      <c r="A11" s="116"/>
      <c r="B11" s="30" t="s">
        <v>106</v>
      </c>
      <c r="C11" s="37" t="s">
        <v>107</v>
      </c>
      <c r="D11" s="35" t="s">
        <v>107</v>
      </c>
      <c r="E11" s="31" t="s">
        <v>108</v>
      </c>
      <c r="F11" s="32" t="s">
        <v>108</v>
      </c>
      <c r="K11" s="125" t="s">
        <v>109</v>
      </c>
      <c r="L11" s="126"/>
      <c r="M11" s="116"/>
      <c r="N11" s="32" t="s">
        <v>110</v>
      </c>
    </row>
    <row r="12" spans="1:14">
      <c r="A12" s="31" t="s">
        <v>111</v>
      </c>
      <c r="B12" s="32" t="s">
        <v>112</v>
      </c>
      <c r="E12" s="31" t="s">
        <v>113</v>
      </c>
      <c r="F12" s="32" t="s">
        <v>114</v>
      </c>
      <c r="K12" s="125"/>
      <c r="L12" s="126"/>
      <c r="M12" s="116"/>
      <c r="N12" s="32" t="s">
        <v>115</v>
      </c>
    </row>
    <row r="13" spans="1:14" ht="15" thickBot="1">
      <c r="A13" s="37" t="s">
        <v>116</v>
      </c>
      <c r="B13" s="38" t="s">
        <v>117</v>
      </c>
      <c r="E13" s="31" t="s">
        <v>137</v>
      </c>
      <c r="F13" s="32" t="s">
        <v>138</v>
      </c>
      <c r="K13" s="125"/>
      <c r="L13" s="126"/>
      <c r="M13" s="116" t="s">
        <v>118</v>
      </c>
      <c r="N13" s="32" t="s">
        <v>119</v>
      </c>
    </row>
    <row r="14" spans="1:14" ht="15" thickBot="1">
      <c r="E14" s="41" t="s">
        <v>136</v>
      </c>
      <c r="F14" s="38" t="s">
        <v>136</v>
      </c>
      <c r="K14" s="125"/>
      <c r="L14" s="126"/>
      <c r="M14" s="116"/>
      <c r="N14" s="32" t="s">
        <v>120</v>
      </c>
    </row>
    <row r="15" spans="1:14" ht="15" thickBot="1">
      <c r="E15" s="122" t="s">
        <v>135</v>
      </c>
      <c r="F15" s="122"/>
      <c r="K15" s="127"/>
      <c r="L15" s="128"/>
      <c r="M15" s="116"/>
      <c r="N15" s="32" t="s">
        <v>121</v>
      </c>
    </row>
    <row r="16" spans="1:14">
      <c r="E16" s="122"/>
      <c r="F16" s="122"/>
      <c r="M16" s="116"/>
      <c r="N16" s="32" t="s">
        <v>122</v>
      </c>
    </row>
    <row r="17" spans="5:14">
      <c r="E17" s="122"/>
      <c r="F17" s="122"/>
      <c r="M17" s="31" t="s">
        <v>123</v>
      </c>
      <c r="N17" s="32" t="s">
        <v>124</v>
      </c>
    </row>
    <row r="18" spans="5:14">
      <c r="E18" s="122"/>
      <c r="F18" s="122"/>
      <c r="M18" s="31" t="s">
        <v>125</v>
      </c>
      <c r="N18" s="32" t="s">
        <v>126</v>
      </c>
    </row>
    <row r="19" spans="5:14">
      <c r="M19" s="31" t="s">
        <v>127</v>
      </c>
      <c r="N19" s="32" t="s">
        <v>128</v>
      </c>
    </row>
    <row r="20" spans="5:14">
      <c r="M20" s="31" t="s">
        <v>129</v>
      </c>
      <c r="N20" s="32" t="s">
        <v>130</v>
      </c>
    </row>
    <row r="21" spans="5:14">
      <c r="M21" s="31" t="s">
        <v>131</v>
      </c>
      <c r="N21" s="32" t="s">
        <v>131</v>
      </c>
    </row>
    <row r="22" spans="5:14">
      <c r="M22" s="116" t="s">
        <v>132</v>
      </c>
      <c r="N22" s="32" t="s">
        <v>133</v>
      </c>
    </row>
    <row r="23" spans="5:14" ht="15" thickBot="1">
      <c r="M23" s="119"/>
      <c r="N23" s="52" t="s">
        <v>134</v>
      </c>
    </row>
    <row r="24" spans="5:14">
      <c r="M24" s="115" t="s">
        <v>147</v>
      </c>
      <c r="N24" s="113" t="s">
        <v>148</v>
      </c>
    </row>
    <row r="25" spans="5:14">
      <c r="M25" s="116"/>
      <c r="N25" s="114"/>
    </row>
    <row r="26" spans="5:14">
      <c r="M26" s="116"/>
      <c r="N26" s="114"/>
    </row>
    <row r="27" spans="5:14" ht="14.25" customHeight="1">
      <c r="M27" s="116" t="s">
        <v>149</v>
      </c>
      <c r="N27" s="114" t="s">
        <v>150</v>
      </c>
    </row>
    <row r="28" spans="5:14">
      <c r="M28" s="116"/>
      <c r="N28" s="114"/>
    </row>
    <row r="29" spans="5:14">
      <c r="M29" s="116"/>
      <c r="N29" s="114"/>
    </row>
    <row r="30" spans="5:14">
      <c r="M30" s="116"/>
      <c r="N30" s="114"/>
    </row>
    <row r="31" spans="5:14" ht="15" thickBot="1">
      <c r="M31" s="118"/>
      <c r="N31" s="117"/>
    </row>
  </sheetData>
  <mergeCells count="22">
    <mergeCell ref="A1:B1"/>
    <mergeCell ref="C1:D1"/>
    <mergeCell ref="E1:F1"/>
    <mergeCell ref="G1:H1"/>
    <mergeCell ref="A3:A8"/>
    <mergeCell ref="E3:E7"/>
    <mergeCell ref="E8:E10"/>
    <mergeCell ref="A9:A11"/>
    <mergeCell ref="I1:J1"/>
    <mergeCell ref="K1:L1"/>
    <mergeCell ref="E15:F18"/>
    <mergeCell ref="M1:N1"/>
    <mergeCell ref="M3:M5"/>
    <mergeCell ref="M6:M8"/>
    <mergeCell ref="M9:M12"/>
    <mergeCell ref="K11:L15"/>
    <mergeCell ref="M13:M16"/>
    <mergeCell ref="N24:N26"/>
    <mergeCell ref="M24:M26"/>
    <mergeCell ref="N27:N31"/>
    <mergeCell ref="M27:M31"/>
    <mergeCell ref="M22:M23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24小时天气预报</vt:lpstr>
      <vt:lpstr>风向十六方位图</vt:lpstr>
      <vt:lpstr>天气类型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SFUSER</cp:lastModifiedBy>
  <dcterms:created xsi:type="dcterms:W3CDTF">2015-06-05T18:19:34Z</dcterms:created>
  <dcterms:modified xsi:type="dcterms:W3CDTF">2026-07-25T06:57:06Z</dcterms:modified>
</cp:coreProperties>
</file>